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2b33134af54d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评审总览" sheetId="1" r:id="R766b62f20c224c1a"/>
    <x:sheet xmlns:r="http://schemas.openxmlformats.org/officeDocument/2006/relationships" name="01_待确认决策" sheetId="2" r:id="R2fe5d8615ae24dce"/>
    <x:sheet xmlns:r="http://schemas.openxmlformats.org/officeDocument/2006/relationships" name="02_开发WBS" sheetId="3" r:id="Rb240d12c0c204402"/>
    <x:sheet xmlns:r="http://schemas.openxmlformats.org/officeDocument/2006/relationships" name="03_API分配" sheetId="4" r:id="Rf2759a6924104ed5"/>
    <x:sheet xmlns:r="http://schemas.openxmlformats.org/officeDocument/2006/relationships" name="04_测试追踪" sheetId="5" r:id="R964b4a7020584091"/>
    <x:sheet xmlns:r="http://schemas.openxmlformats.org/officeDocument/2006/relationships" name="05_阶段计划" sheetId="6" r:id="R2ed3bfce53d243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1">
    <x:font>
      <x:sz val="11"/>
      <x:name val="Carlito"/>
    </x:font>
    <x:font>
      <x:b/>
      <x:sz val="16"/>
      <x:color rgb="FFFFFFFF"/>
      <x:name val="Carlito"/>
    </x:font>
    <x:font>
      <x:sz val="10"/>
      <x:color rgb="FF47617A"/>
      <x:name val="Carlito"/>
    </x:font>
    <x:font>
      <x:b/>
      <x:sz val="10"/>
      <x:color rgb="FFFFFFFF"/>
      <x:name val="Carlito"/>
    </x:font>
    <x:font>
      <x:b/>
      <x:sz val="17"/>
      <x:color rgb="FFFFFFFF"/>
      <x:name val="Carlito"/>
    </x:font>
    <x:font>
      <x:sz val="10"/>
      <x:color rgb="FF496579"/>
      <x:name val="Carlito"/>
    </x:font>
    <x:font>
      <x:b/>
      <x:sz val="10"/>
      <x:color rgb="FF47617A"/>
      <x:name val="Carlito"/>
    </x:font>
    <x:font>
      <x:b/>
      <x:sz val="20"/>
      <x:color rgb="FF17324A"/>
      <x:name val="Carlito"/>
    </x:font>
    <x:font>
      <x:b/>
      <x:sz val="10"/>
      <x:color rgb="FF955D12"/>
      <x:name val="Carlito"/>
    </x:font>
    <x:font>
      <x:b/>
      <x:sz val="11"/>
      <x:color rgb="FF2C5A80"/>
      <x:name val="Carlito"/>
    </x:font>
    <x:font>
      <x:sz val="10"/>
      <x:color rgb="FF5A667A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A"/>
      </x:patternFill>
    </x:fill>
    <x:fill>
      <x:patternFill patternType="solid">
        <x:fgColor rgb="FFECF1F6"/>
      </x:patternFill>
    </x:fill>
    <x:fill>
      <x:patternFill patternType="solid">
        <x:fgColor rgb="FF355C77"/>
      </x:patternFill>
    </x:fill>
    <x:fill>
      <x:patternFill patternType="solid">
        <x:fgColor rgb="FFEDF2F7"/>
      </x:patternFill>
    </x:fill>
    <x:fill>
      <x:patternFill patternType="solid">
        <x:fgColor rgb="FFE7EEF5"/>
      </x:patternFill>
    </x:fill>
    <x:fill>
      <x:patternFill patternType="solid">
        <x:fgColor rgb="FFFAFCFE"/>
      </x:patternFill>
    </x:fill>
    <x:fill>
      <x:patternFill patternType="solid">
        <x:fgColor rgb="FFFFF5E8"/>
      </x:patternFill>
    </x:fill>
    <x:fill>
      <x:patternFill patternType="solid">
        <x:fgColor rgb="FFEAF2FC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horizontal="center"/>
    </x:xf>
    <x:xf numFmtId="0" fontId="7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0" fillId="8" borderId="1" xfId="0" applyNumberFormat="1" applyFont="1" applyFill="1" applyBorder="1"/>
    <x:xf numFmtId="0" fontId="8" fillId="8" borderId="1" xfId="0" applyNumberFormat="1" applyFont="1" applyFill="1" applyBorder="1"/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0" fillId="9" borderId="1" xfId="0" applyNumberFormat="1" applyFont="1" applyFill="1" applyBorder="1"/>
    <x:xf numFmtId="0" fontId="9" fillId="9" borderId="1" xfId="0" applyNumberFormat="1" applyFont="1" applyFill="1" applyBorder="1"/>
    <x:xf numFmtId="0" fontId="1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bc78b6eced4c20" /><Relationship Type="http://schemas.openxmlformats.org/officeDocument/2006/relationships/theme" Target="/xl/theme/theme1.xml" Id="Rdada97929325467b" /><Relationship Type="http://schemas.openxmlformats.org/officeDocument/2006/relationships/sharedStrings" Target="/xl/sharedStrings.xml" Id="Rc7261fe726944140" /><Relationship Type="http://schemas.openxmlformats.org/officeDocument/2006/relationships/worksheet" Target="/xl/worksheets/sheet1.xml" Id="R766b62f20c224c1a" /><Relationship Type="http://schemas.openxmlformats.org/officeDocument/2006/relationships/worksheet" Target="/xl/worksheets/sheet2.xml" Id="R2fe5d8615ae24dce" /><Relationship Type="http://schemas.openxmlformats.org/officeDocument/2006/relationships/worksheet" Target="/xl/worksheets/sheet3.xml" Id="Rb240d12c0c204402" /><Relationship Type="http://schemas.openxmlformats.org/officeDocument/2006/relationships/worksheet" Target="/xl/worksheets/sheet4.xml" Id="Rf2759a6924104ed5" /><Relationship Type="http://schemas.openxmlformats.org/officeDocument/2006/relationships/worksheet" Target="/xl/worksheets/sheet5.xml" Id="R964b4a7020584091" /><Relationship Type="http://schemas.openxmlformats.org/officeDocument/2006/relationships/worksheet" Target="/xl/worksheets/sheet6.xml" Id="R2ed3bfce53d2434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a6294b48a9b47c4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任务数</c:v>
          </c:tx>
          <c:cat>
            <c:strRef>
              <c:f>'00_评审总览'!$A$11:$A$17</c:f>
              <c:strCache>
                <c:ptCount val="0"/>
              </c:strCache>
            </c:strRef>
          </c:cat>
          <c:val>
            <c:numRef>
              <c:f>'00_评审总览'!$E$11:$E$17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13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6294b48a9b47c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_2" displayName="Tbl_2" ref="A5:J21" headerRowCount="1" totalsRowCount="0" totalsRowShown="0">
  <x:tableColumns count="10">
    <x:tableColumn id="1" name="决策编号"/>
    <x:tableColumn id="2" name="优先级"/>
    <x:tableColumn id="3" name="决策主题"/>
    <x:tableColumn id="4" name="需确认的问题"/>
    <x:tableColumn id="5" name="建议确认岗位"/>
    <x:tableColumn id="6" name="未确认时策略"/>
    <x:tableColumn id="7" name="影响/阻断能力"/>
    <x:tableColumn id="8" name="建议完成日期"/>
    <x:tableColumn id="9" name="决策状态"/>
    <x:tableColumn id="10" name="来源依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3" displayName="Tbl_3" ref="A5:P55" headerRowCount="1" totalsRowCount="0" totalsRowShown="0">
  <x:tableColumns count="16">
    <x:tableColumn id="1" name="任务编号"/>
    <x:tableColumn id="2" name="阶段"/>
    <x:tableColumn id="3" name="工作任务"/>
    <x:tableColumn id="4" name="工作内容"/>
    <x:tableColumn id="5" name="建议开始"/>
    <x:tableColumn id="6" name="建议结束"/>
    <x:tableColumn id="7" name="自然日数"/>
    <x:tableColumn id="8" name="优先级"/>
    <x:tableColumn id="9" name="前置任务"/>
    <x:tableColumn id="10" name="建议责任角色"/>
    <x:tableColumn id="11" name="API模块"/>
    <x:tableColumn id="12" name="业务前置确认"/>
    <x:tableColumn id="13" name="交付物"/>
    <x:tableColumn id="14" name="验收标准"/>
    <x:tableColumn id="15" name="任务状态"/>
    <x:tableColumn id="16" name="排期性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4" displayName="Tbl_4" ref="A5:K66" headerRowCount="1" totalsRowCount="0" totalsRowShown="0">
  <x:tableColumns count="11">
    <x:tableColumn id="1" name="API编号"/>
    <x:tableColumn id="2" name="业务模块"/>
    <x:tableColumn id="3" name="方法"/>
    <x:tableColumn id="4" name="完整资源路径"/>
    <x:tableColumn id="5" name="接口用途"/>
    <x:tableColumn id="6" name="开发阶段"/>
    <x:tableColumn id="7" name="实施级别"/>
    <x:tableColumn id="8" name="对应WBS"/>
    <x:tableColumn id="9" name="前置决策"/>
    <x:tableColumn id="10" name="启用条件"/>
    <x:tableColumn id="11" name="关键校验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5" displayName="Tbl_5" ref="A5:K23" headerRowCount="1" totalsRowCount="0" totalsRowShown="0">
  <x:tableColumns count="11">
    <x:tableColumn id="1" name="用例ID"/>
    <x:tableColumn id="2" name="测试类别"/>
    <x:tableColumn id="3" name="业务对象"/>
    <x:tableColumn id="4" name="模拟输入"/>
    <x:tableColumn id="5" name="预期结果"/>
    <x:tableColumn id="6" name="预期断言"/>
    <x:tableColumn id="7" name="目标WBS"/>
    <x:tableColumn id="8" name="候选接口"/>
    <x:tableColumn id="9" name="前置决策"/>
    <x:tableColumn id="10" name="执行状态"/>
    <x:tableColumn id="11" name="检查条件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6" displayName="Tbl_6" ref="A5:J12" headerRowCount="1" totalsRowCount="0" totalsRowShown="0">
  <x:tableColumns count="10">
    <x:tableColumn id="1" name="阶段"/>
    <x:tableColumn id="2" name="原计划阶段"/>
    <x:tableColumn id="3" name="开始日期"/>
    <x:tableColumn id="4" name="结束日期"/>
    <x:tableColumn id="5" name="自然日数"/>
    <x:tableColumn id="6" name="WBS任务数量"/>
    <x:tableColumn id="7" name="阶段交付结果"/>
    <x:tableColumn id="8" name="阶段性质"/>
    <x:tableColumn id="9" name="评审状态"/>
    <x:tableColumn id="10" name="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23c38a59bd34a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bb98934d9140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e1aee1ce1e42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9eaf1dd53241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5599fcb3454a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d60a9c2f63447b8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30" hidden="0" customWidth="1"/>
    <x:col min="3" max="3" width="16" hidden="0" customWidth="1"/>
    <x:col min="4" max="4" width="16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5" hidden="0" customWidth="1"/>
    <x:col min="10" max="10" width="15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25" customHeight="1">
      <x:c r="A1" s="27" t="str">
        <x:v>第一期 · 技术方案评审与开发任务拆解 V0.3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</x:row>
    <x:row r="2" ht="25" customHeight="1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</x:row>
    <x:row r="3" ht="28" customHeight="1">
      <x:c r="A3" s="31" t="str">
        <x:v>原项目工期不变 · V0.3为评审准备稿 · 当前尚未开始正式编码 · 子任务日期均为待会签的建议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</x:row>
    <x:row r="5" ht="24" customHeight="1">
      <x:c r="A5" s="36" t="str">
        <x:v>WBS建议任务数</x:v>
      </x:c>
      <x:c r="B5" s="36"/>
      <x:c r="C5" s="36" t="str">
        <x:v>候选API数</x:v>
      </x:c>
      <x:c r="D5" s="36"/>
      <x:c r="E5" s="36" t="str">
        <x:v>P0待确认事项</x:v>
      </x:c>
      <x:c r="F5" s="36"/>
      <x:c r="G5" s="36" t="str">
        <x:v>模拟测试用例</x:v>
      </x:c>
      <x:c r="H5" s="36"/>
      <x:c r="I5" s="36" t="str">
        <x:v>当前正式编码</x:v>
      </x:c>
      <x:c r="J5" s="36"/>
    </x:row>
    <x:row r="6" ht="28" customHeight="1">
      <x:c r="A6" s="43" t="n">
        <x:f>COUNTA('02_开发WBS'!A6:A55)</x:f>
        <x:v>50</x:v>
      </x:c>
      <x:c r="B6" s="43"/>
      <x:c r="C6" s="43" t="n">
        <x:f>COUNTA('03_API分配'!A6:A66)</x:f>
        <x:v>61</x:v>
      </x:c>
      <x:c r="D6" s="43"/>
      <x:c r="E6" s="43" t="n">
        <x:f>COUNTIF('01_待确认决策'!B6:B21,"P0")</x:f>
        <x:v>13</x:v>
      </x:c>
      <x:c r="F6" s="43"/>
      <x:c r="G6" s="43" t="n">
        <x:f>COUNTA('04_测试追踪'!A6:A23)</x:f>
        <x:v>18</x:v>
      </x:c>
      <x:c r="H6" s="43"/>
      <x:c r="I6" s="43" t="str">
        <x:v>未开始</x:v>
      </x:c>
      <x:c r="J6" s="43"/>
    </x:row>
    <x:row r="7" ht="28" customHeight="1">
      <x:c r="A7" s="43"/>
      <x:c r="B7" s="43"/>
      <x:c r="C7" s="43"/>
      <x:c r="D7" s="43"/>
      <x:c r="E7" s="43"/>
      <x:c r="F7" s="43"/>
      <x:c r="G7" s="43"/>
      <x:c r="H7" s="43"/>
      <x:c r="I7" s="43"/>
      <x:c r="J7" s="43"/>
    </x:row>
    <x:row r="10" ht="27" customHeight="1">
      <x:c r="A10" s="15" t="str">
        <x:v>阶段</x:v>
      </x:c>
      <x:c r="B10" s="15" t="str">
        <x:v>阶段内容</x:v>
      </x:c>
      <x:c r="C10" s="15" t="str">
        <x:v>开始日期</x:v>
      </x:c>
      <x:c r="D10" s="15" t="str">
        <x:v>结束日期</x:v>
      </x:c>
      <x:c r="E10" s="15" t="str">
        <x:v>WBS任务数</x:v>
      </x:c>
    </x:row>
    <x:row r="11" ht="27" customHeight="1">
      <x:c r="A11" t="str">
        <x:v>S1</x:v>
      </x:c>
      <x:c r="B11" t="str">
        <x:v>业务调研与可行性分析</x:v>
      </x:c>
      <x:c r="C11" t="str">
        <x:v>2026-10-19</x:v>
      </x:c>
      <x:c r="D11" t="str">
        <x:v>2026-11-30</x:v>
      </x:c>
      <x:c r="E11" t="n">
        <x:f>COUNTIF('02_开发WBS'!B$6:B$55,A11)</x:f>
        <x:v>7</x:v>
      </x:c>
    </x:row>
    <x:row r="12" ht="27" customHeight="1">
      <x:c r="A12" t="str">
        <x:v>S2</x:v>
      </x:c>
      <x:c r="B12" t="str">
        <x:v>资料及标准动作整理</x:v>
      </x:c>
      <x:c r="C12" t="str">
        <x:v>2026-12-01</x:v>
      </x:c>
      <x:c r="D12" t="str">
        <x:v>2027-02-26</x:v>
      </x:c>
      <x:c r="E12" t="n">
        <x:f>COUNTIF('02_开发WBS'!B$6:B$55,A12)</x:f>
        <x:v>8</x:v>
      </x:c>
    </x:row>
    <x:row r="13" ht="27" customHeight="1">
      <x:c r="A13" t="str">
        <x:v>S3</x:v>
      </x:c>
      <x:c r="B13" t="str">
        <x:v>需求与技术方案设计</x:v>
      </x:c>
      <x:c r="C13" t="str">
        <x:v>2027-03-01</x:v>
      </x:c>
      <x:c r="D13" t="str">
        <x:v>2027-03-31</x:v>
      </x:c>
      <x:c r="E13" t="n">
        <x:f>COUNTIF('02_开发WBS'!B$6:B$55,A13)</x:f>
        <x:v>8</x:v>
      </x:c>
    </x:row>
    <x:row r="14" ht="27" customHeight="1">
      <x:c r="A14" t="str">
        <x:v>S4</x:v>
      </x:c>
      <x:c r="B14" t="str">
        <x:v>节点及动作模板开发</x:v>
      </x:c>
      <x:c r="C14" t="str">
        <x:v>2027-04-01</x:v>
      </x:c>
      <x:c r="D14" t="str">
        <x:v>2027-04-23</x:v>
      </x:c>
      <x:c r="E14" t="n">
        <x:f>COUNTIF('02_开发WBS'!B$6:B$55,A14)</x:f>
        <x:v>9</x:v>
      </x:c>
    </x:row>
    <x:row r="15" ht="27" customHeight="1">
      <x:c r="A15" t="str">
        <x:v>S5</x:v>
      </x:c>
      <x:c r="B15" t="str">
        <x:v>提醒通知与工作安排开发</x:v>
      </x:c>
      <x:c r="C15" t="str">
        <x:v>2027-04-26</x:v>
      </x:c>
      <x:c r="D15" t="str">
        <x:v>2027-05-14</x:v>
      </x:c>
      <x:c r="E15" t="n">
        <x:f>COUNTIF('02_开发WBS'!B$6:B$55,A15)</x:f>
        <x:v>6</x:v>
      </x:c>
    </x:row>
    <x:row r="16" ht="27" customHeight="1">
      <x:c r="A16" t="str">
        <x:v>S6</x:v>
      </x:c>
      <x:c r="B16" t="str">
        <x:v>量化评估与AI报告开发</x:v>
      </x:c>
      <x:c r="C16" t="str">
        <x:v>2027-05-17</x:v>
      </x:c>
      <x:c r="D16" t="str">
        <x:v>2027-05-31</x:v>
      </x:c>
      <x:c r="E16" t="n">
        <x:f>COUNTIF('02_开发WBS'!B$6:B$55,A16)</x:f>
        <x:v>6</x:v>
      </x:c>
    </x:row>
    <x:row r="17" ht="27" customHeight="1">
      <x:c r="A17" t="str">
        <x:v>S7</x:v>
      </x:c>
      <x:c r="B17" t="str">
        <x:v>测试整改与业务试用</x:v>
      </x:c>
      <x:c r="C17" t="str">
        <x:v>2027-06-01</x:v>
      </x:c>
      <x:c r="D17" t="str">
        <x:v>2027-06-30</x:v>
      </x:c>
      <x:c r="E17" t="n">
        <x:f>COUNTIF('02_开发WBS'!B$6:B$55,A17)</x:f>
        <x:v>6</x:v>
      </x:c>
    </x:row>
    <x:row r="20" ht="30" customHeight="1">
      <x:c r="A20" s="49" t="str">
        <x:v>技术评审结论：可以继续设计和业务征询；在正式会签前不启动真实业务接入、生产提醒或前后端正式代码。</x:v>
      </x:c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</x:row>
    <x:row r="22" ht="28" customHeight="1">
      <x:c r="A22" s="53" t="str">
        <x:v>必守边界：计划≠实际收付款；反馈≠核实完成；审核通过≠通知已发送；未知≠0。</x:v>
      </x:c>
      <x:c r="B22" s="53"/>
      <x:c r="C22" s="53"/>
      <x:c r="D22" s="53"/>
      <x:c r="E22" s="53"/>
      <x:c r="F22" s="53"/>
      <x:c r="G22" s="53"/>
      <x:c r="H22" s="53"/>
      <x:c r="I22" s="53"/>
      <x:c r="J22" s="53"/>
      <x:c r="K22" s="53"/>
      <x:c r="L22" s="53"/>
      <x:c r="M22" s="53"/>
    </x:row>
    <x:row r="24" ht="25" customHeight="1">
      <x:c r="A24" s="56" t="str">
        <x:v>使用顺序：01_待确认决策 → 02_开发WBS → 03_API分配 → 04_测试追踪 → 05_阶段计划。</x:v>
      </x:c>
      <x:c r="B24" s="56"/>
      <x:c r="C24" s="56"/>
      <x:c r="D24" s="56"/>
      <x:c r="E24" s="56"/>
      <x:c r="F24" s="56"/>
      <x:c r="G24" s="56"/>
      <x:c r="H24" s="56"/>
      <x:c r="I24" s="56"/>
      <x:c r="J24" s="56"/>
      <x:c r="K24" s="56"/>
      <x:c r="L24" s="56"/>
      <x:c r="M24" s="56"/>
    </x:row>
  </x:sheetData>
  <x:mergeCells>
    <x:mergeCell ref="A1:M2"/>
    <x:mergeCell ref="A3:M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A20:M20"/>
    <x:mergeCell ref="A22:M22"/>
    <x:mergeCell ref="A24:M24"/>
  </x:mergeCells>
  <x:pageMargins left="0.7" right="0.7" top="0.75" bottom="0.75" header="0.3" footer="0.3"/>
  <x:drawing xmlns:r="http://schemas.openxmlformats.org/officeDocument/2006/relationships" r:id="R723c38a59bd34ad1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1" hidden="0" customWidth="1"/>
    <x:col min="3" max="3" width="24" hidden="0" customWidth="1"/>
    <x:col min="4" max="4" width="40" hidden="0" customWidth="1"/>
    <x:col min="5" max="5" width="24" hidden="0" customWidth="1"/>
    <x:col min="6" max="6" width="42" hidden="0" customWidth="1"/>
    <x:col min="7" max="7" width="27" hidden="0" customWidth="1"/>
    <x:col min="8" max="8" width="18" hidden="0" customWidth="1"/>
    <x:col min="9" max="9" width="16" hidden="0" customWidth="1"/>
    <x:col min="10" max="10" width="25" hidden="0" customWidth="1"/>
  </x:cols>
  <x:sheetData>
    <x:row r="1" ht="22" customHeight="1">
      <x:c r="A1" s="4" t="str">
        <x:v>业务与信息化待确认事项（V0.3）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8" customHeight="1">
      <x:c r="A3" s="10" t="str">
        <x:v>P0会阻断相应真实功能；“暂定策略”仅供模拟，不代表已经批准。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5" ht="31" customHeight="1">
      <x:c r="A5" s="16" t="str">
        <x:v>决策编号</x:v>
      </x:c>
      <x:c r="B5" s="16" t="str">
        <x:v>优先级</x:v>
      </x:c>
      <x:c r="C5" s="16" t="str">
        <x:v>决策主题</x:v>
      </x:c>
      <x:c r="D5" s="16" t="str">
        <x:v>需确认的问题</x:v>
      </x:c>
      <x:c r="E5" s="16" t="str">
        <x:v>建议确认岗位</x:v>
      </x:c>
      <x:c r="F5" s="16" t="str">
        <x:v>未确认时策略</x:v>
      </x:c>
      <x:c r="G5" s="16" t="str">
        <x:v>影响/阻断能力</x:v>
      </x:c>
      <x:c r="H5" s="16" t="str">
        <x:v>建议完成日期</x:v>
      </x:c>
      <x:c r="I5" s="16" t="str">
        <x:v>决策状态</x:v>
      </x:c>
      <x:c r="J5" s="16" t="str">
        <x:v>来源依据</x:v>
      </x:c>
    </x:row>
    <x:row r="6" ht="50" customHeight="1">
      <x:c r="A6" s="22" t="str">
        <x:v>D-01</x:v>
      </x:c>
      <x:c r="B6" s="22" t="str">
        <x:v>P0</x:v>
      </x:c>
      <x:c r="C6" s="22" t="str">
        <x:v>试点项目与数据使用范围</x:v>
      </x:c>
      <x:c r="D6" s="22" t="str">
        <x:v>选哪类项目作为第一期，真实样例是否获准使用</x:v>
      </x:c>
      <x:c r="E6" s="22" t="str">
        <x:v>项目负责人/业务</x:v>
      </x:c>
      <x:c r="F6" s="22" t="str">
        <x:v>仅使用3个虚拟项目，不上真实库</x:v>
      </x:c>
      <x:c r="G6" s="22" t="str">
        <x:v>真实导入、真实报表</x:v>
      </x:c>
      <x:c r="H6" s="24" t="n">
        <x:v>46356</x:v>
      </x:c>
      <x:c r="I6" s="22" t="str">
        <x:v>待确认</x:v>
      </x:c>
      <x:c r="J6" s="22" t="str">
        <x:v>计划书§五；V0.2§11</x:v>
      </x:c>
    </x:row>
    <x:row r="7" ht="50" customHeight="1">
      <x:c r="A7" s="22" t="str">
        <x:v>D-02</x:v>
      </x:c>
      <x:c r="B7" s="22" t="str">
        <x:v>P0</x:v>
      </x:c>
      <x:c r="C7" s="22" t="str">
        <x:v>业务编码与项目属性</x:v>
      </x:c>
      <x:c r="D7" s="22" t="str">
        <x:v>项目编号和节点编号唯一性规则、人员目录来源</x:v>
      </x:c>
      <x:c r="E7" s="22" t="str">
        <x:v>项目计划管理</x:v>
      </x:c>
      <x:c r="F7" s="22" t="str">
        <x:v>模拟P-H028等编码、UUID内部主键</x:v>
      </x:c>
      <x:c r="G7" s="22" t="str">
        <x:v>项目/节点实际导入</x:v>
      </x:c>
      <x:c r="H7" s="24" t="n">
        <x:v>46356</x:v>
      </x:c>
      <x:c r="I7" s="22" t="str">
        <x:v>待确认</x:v>
      </x:c>
      <x:c r="J7" s="22" t="str">
        <x:v>V0.2§2、§11</x:v>
      </x:c>
    </x:row>
    <x:row r="8" ht="50" customHeight="1">
      <x:c r="A8" s="22" t="str">
        <x:v>D-03</x:v>
      </x:c>
      <x:c r="B8" s="22" t="str">
        <x:v>P0</x:v>
      </x:c>
      <x:c r="C8" s="22" t="str">
        <x:v>计划版本谁批准生效</x:v>
      </x:c>
      <x:c r="D8" s="22" t="str">
        <x:v>V2→V3提交、审核、作废旧提醒、合同日期来源</x:v>
      </x:c>
      <x:c r="E8" s="22" t="str">
        <x:v>项目管理部门</x:v>
      </x:c>
      <x:c r="F8" s="22" t="str">
        <x:v>生效需独立审核，历史只读</x:v>
      </x:c>
      <x:c r="G8" s="22" t="str">
        <x:v>真实计划生效</x:v>
      </x:c>
      <x:c r="H8" s="24" t="n">
        <x:v>46444</x:v>
      </x:c>
      <x:c r="I8" s="22" t="str">
        <x:v>待确认</x:v>
      </x:c>
      <x:c r="J8" s="22" t="str">
        <x:v>V0.2§5.1、§11</x:v>
      </x:c>
    </x:row>
    <x:row r="9" ht="50" customHeight="1">
      <x:c r="A9" s="22" t="str">
        <x:v>D-04</x:v>
      </x:c>
      <x:c r="B9" s="22" t="str">
        <x:v>P0</x:v>
      </x:c>
      <x:c r="C9" s="22" t="str">
        <x:v>标准动作与证明材料</x:v>
      </x:c>
      <x:c r="D9" s="22" t="str">
        <x:v>动作模板适用条件、责任部门、核实依据</x:v>
      </x:c>
      <x:c r="E9" s="22" t="str">
        <x:v>业务规则维护/部门长</x:v>
      </x:c>
      <x:c r="F9" s="22" t="str">
        <x:v>未经批准的模板只用于演示</x:v>
      </x:c>
      <x:c r="G9" s="22" t="str">
        <x:v>自动生成可执行工作</x:v>
      </x:c>
      <x:c r="H9" s="24" t="n">
        <x:v>46444</x:v>
      </x:c>
      <x:c r="I9" s="22" t="str">
        <x:v>待确认</x:v>
      </x:c>
      <x:c r="J9" s="22" t="str">
        <x:v>计划书§三；V0.2§11</x:v>
      </x:c>
    </x:row>
    <x:row r="10" ht="50" customHeight="1">
      <x:c r="A10" s="22" t="str">
        <x:v>D-05</x:v>
      </x:c>
      <x:c r="B10" s="22" t="str">
        <x:v>P0</x:v>
      </x:c>
      <x:c r="C10" s="22" t="str">
        <x:v>提醒时点、轮次与补发</x:v>
      </x:c>
      <x:c r="D10" s="22" t="str">
        <x:v>提前天数、补发、临时变更、日界线和重复提醒</x:v>
      </x:c>
      <x:c r="E10" s="22" t="str">
        <x:v>项目管理部门</x:v>
      </x:c>
      <x:c r="F10" s="22" t="str">
        <x:v>模拟7自然日，生成草稿不外发</x:v>
      </x:c>
      <x:c r="G10" s="22" t="str">
        <x:v>生产提醒调度</x:v>
      </x:c>
      <x:c r="H10" s="24" t="n">
        <x:v>46444</x:v>
      </x:c>
      <x:c r="I10" s="22" t="str">
        <x:v>待确认</x:v>
      </x:c>
      <x:c r="J10" s="22" t="str">
        <x:v>V0.2§5.2、§11</x:v>
      </x:c>
    </x:row>
    <x:row r="11" ht="50" customHeight="1">
      <x:c r="A11" s="22" t="str">
        <x:v>D-06</x:v>
      </x:c>
      <x:c r="B11" s="22" t="str">
        <x:v>P0</x:v>
      </x:c>
      <x:c r="C11" s="22" t="str">
        <x:v>企业工作日历</x:v>
      </x:c>
      <x:c r="D11" s="22" t="str">
        <x:v>节假日、调休、工作日与自然日口径</x:v>
      </x:c>
      <x:c r="E11" s="22" t="str">
        <x:v>业务/IT</x:v>
      </x:c>
      <x:c r="F11" s="22" t="str">
        <x:v>工作日规则无批准日历返回待配置</x:v>
      </x:c>
      <x:c r="G11" s="22" t="str">
        <x:v>正式工作日提醒</x:v>
      </x:c>
      <x:c r="H11" s="24" t="n">
        <x:v>46444</x:v>
      </x:c>
      <x:c r="I11" s="22" t="str">
        <x:v>待确认</x:v>
      </x:c>
      <x:c r="J11" s="22" t="str">
        <x:v>V0.2§5.2、TC-017</x:v>
      </x:c>
    </x:row>
    <x:row r="12" ht="50" customHeight="1">
      <x:c r="A12" s="22" t="str">
        <x:v>D-07</x:v>
      </x:c>
      <x:c r="B12" s="22" t="str">
        <x:v>P0</x:v>
      </x:c>
      <x:c r="C12" s="22" t="str">
        <x:v>通知审核与接收对象</x:v>
      </x:c>
      <x:c r="D12" s="22" t="str">
        <x:v>审核人、部门负责人、正式通知渠道与权限</x:v>
      </x:c>
      <x:c r="E12" s="22" t="str">
        <x:v>业务/信息化</x:v>
      </x:c>
      <x:c r="F12" s="22" t="str">
        <x:v>草稿→审核通过待发送；对外发送关闭</x:v>
      </x:c>
      <x:c r="G12" s="22" t="str">
        <x:v>正式通知发送</x:v>
      </x:c>
      <x:c r="H12" s="24" t="n">
        <x:v>46444</x:v>
      </x:c>
      <x:c r="I12" s="22" t="str">
        <x:v>待确认</x:v>
      </x:c>
      <x:c r="J12" s="22" t="str">
        <x:v>V0.2§5.1、§11</x:v>
      </x:c>
    </x:row>
    <x:row r="13" ht="50" customHeight="1">
      <x:c r="A13" s="22" t="str">
        <x:v>D-08</x:v>
      </x:c>
      <x:c r="B13" s="22" t="str">
        <x:v>P0</x:v>
      </x:c>
      <x:c r="C13" s="22" t="str">
        <x:v>Excel异常行处理</x:v>
      </x:c>
      <x:c r="D13" s="22" t="str">
        <x:v>允许跳过错误行还是整批回滚；重复数据如何处理</x:v>
      </x:c>
      <x:c r="E13" s="22" t="str">
        <x:v>项目管理/IT</x:v>
      </x:c>
      <x:c r="F13" s="22" t="str">
        <x:v>预览并提示，禁止自动覆盖；策略人工确认</x:v>
      </x:c>
      <x:c r="G13" s="22" t="str">
        <x:v>批量真实写入</x:v>
      </x:c>
      <x:c r="H13" s="24" t="n">
        <x:v>46444</x:v>
      </x:c>
      <x:c r="I13" s="22" t="str">
        <x:v>待确认</x:v>
      </x:c>
      <x:c r="J13" s="22" t="str">
        <x:v>V0.2§4.2、§11</x:v>
      </x:c>
    </x:row>
    <x:row r="14" ht="50" customHeight="1">
      <x:c r="A14" s="22" t="str">
        <x:v>D-09</x:v>
      </x:c>
      <x:c r="B14" s="22" t="str">
        <x:v>P0</x:v>
      </x:c>
      <x:c r="C14" s="22" t="str">
        <x:v>指标分母和异常状态</x:v>
      </x:c>
      <x:c r="D14" s="22" t="str">
        <x:v>已核实逾期未完成如何计入按期率和项目评价</x:v>
      </x:c>
      <x:c r="E14" s="22" t="str">
        <x:v>项目管理/业务</x:v>
      </x:c>
      <x:c r="F14" s="22" t="str">
        <x:v>模拟按期率O/(O+L)并标明口径，不出正式考核分</x:v>
      </x:c>
      <x:c r="G14" s="22" t="str">
        <x:v>正式量化评价</x:v>
      </x:c>
      <x:c r="H14" s="24" t="n">
        <x:v>46466</x:v>
      </x:c>
      <x:c r="I14" s="22" t="str">
        <x:v>待确认</x:v>
      </x:c>
      <x:c r="J14" s="22" t="str">
        <x:v>V0.2§5.3、§11</x:v>
      </x:c>
    </x:row>
    <x:row r="15" ht="50" customHeight="1">
      <x:c r="A15" s="22" t="str">
        <x:v>D-10</x:v>
      </x:c>
      <x:c r="B15" s="22" t="str">
        <x:v>P0</x:v>
      </x:c>
      <x:c r="C15" s="22" t="str">
        <x:v>财务计划与实际数据授权</x:v>
      </x:c>
      <x:c r="D15" s="22" t="str">
        <x:v>合同来源、财务核实人、分币种及金额展示权限</x:v>
      </x:c>
      <x:c r="E15" s="22" t="str">
        <x:v>财务/信息化</x:v>
      </x:c>
      <x:c r="F15" s="22" t="str">
        <x:v>计划与实际分表；未核实实际为未知</x:v>
      </x:c>
      <x:c r="G15" s="22" t="str">
        <x:v>真实财务事实及报表</x:v>
      </x:c>
      <x:c r="H15" s="24" t="n">
        <x:v>46444</x:v>
      </x:c>
      <x:c r="I15" s="22" t="str">
        <x:v>待确认</x:v>
      </x:c>
      <x:c r="J15" s="22" t="str">
        <x:v>V0.2§2、§11</x:v>
      </x:c>
    </x:row>
    <x:row r="16" ht="50" customHeight="1">
      <x:c r="A16" s="22" t="str">
        <x:v>D-11</x:v>
      </x:c>
      <x:c r="B16" s="22" t="str">
        <x:v>P0</x:v>
      </x:c>
      <x:c r="C16" s="22" t="str">
        <x:v>数据库与服务器部署</x:v>
      </x:c>
      <x:c r="D16" s="22" t="str">
        <x:v>是否支持PostgreSQL、统一认证、日志、附件存储</x:v>
      </x:c>
      <x:c r="E16" s="22" t="str">
        <x:v>IT/运维</x:v>
      </x:c>
      <x:c r="F16" s="22" t="str">
        <x:v>PG为候选；不连生产数据或外网端口</x:v>
      </x:c>
      <x:c r="G16" s="22" t="str">
        <x:v>正式环境迁移部署</x:v>
      </x:c>
      <x:c r="H16" s="24" t="n">
        <x:v>46456</x:v>
      </x:c>
      <x:c r="I16" s="22" t="str">
        <x:v>待确认</x:v>
      </x:c>
      <x:c r="J16" s="22" t="str">
        <x:v>V0.2§1、§11</x:v>
      </x:c>
    </x:row>
    <x:row r="17" ht="50" customHeight="1">
      <x:c r="A17" s="22" t="str">
        <x:v>D-12</x:v>
      </x:c>
      <x:c r="B17" s="22" t="str">
        <x:v>P0</x:v>
      </x:c>
      <x:c r="C17" s="22" t="str">
        <x:v>业务角色与职责分离</x:v>
      </x:c>
      <x:c r="D17" s="22" t="str">
        <x:v>计划批准、通知审核、反馈核实、财务核实主体</x:v>
      </x:c>
      <x:c r="E17" s="22" t="str">
        <x:v>业务/信息化</x:v>
      </x:c>
      <x:c r="F17" s="22" t="str">
        <x:v>服务端独立校验授权，不以UI隐藏替代</x:v>
      </x:c>
      <x:c r="G17" s="22" t="str">
        <x:v>所有审核接口</x:v>
      </x:c>
      <x:c r="H17" s="24" t="n">
        <x:v>46463</x:v>
      </x:c>
      <x:c r="I17" s="22" t="str">
        <x:v>待确认</x:v>
      </x:c>
      <x:c r="J17" s="22" t="str">
        <x:v>V0.2§10.1</x:v>
      </x:c>
    </x:row>
    <x:row r="18" ht="50" customHeight="1">
      <x:c r="A18" s="22" t="str">
        <x:v>D-13</x:v>
      </x:c>
      <x:c r="B18" s="22" t="str">
        <x:v>P1</x:v>
      </x:c>
      <x:c r="C18" s="22" t="str">
        <x:v>AI模型和数据出域</x:v>
      </x:c>
      <x:c r="D18" s="22" t="str">
        <x:v>模型接口、资料保密、人工审核、输出格式</x:v>
      </x:c>
      <x:c r="E18" s="22" t="str">
        <x:v>IT/AI/业务</x:v>
      </x:c>
      <x:c r="F18" s="22" t="str">
        <x:v>无批准仅可生成模板示例报告，不外送敏感信息</x:v>
      </x:c>
      <x:c r="G18" s="22" t="str">
        <x:v>实际AI报告</x:v>
      </x:c>
      <x:c r="H18" s="24" t="n">
        <x:v>46477</x:v>
      </x:c>
      <x:c r="I18" s="22" t="str">
        <x:v>待确认</x:v>
      </x:c>
      <x:c r="J18" s="22" t="str">
        <x:v>V0.2§11</x:v>
      </x:c>
    </x:row>
    <x:row r="19" ht="50" customHeight="1">
      <x:c r="A19" s="22" t="str">
        <x:v>D-14</x:v>
      </x:c>
      <x:c r="B19" s="22" t="str">
        <x:v>P1</x:v>
      </x:c>
      <x:c r="C19" s="22" t="str">
        <x:v>性能和试点容量目标</x:v>
      </x:c>
      <x:c r="D19" s="22" t="str">
        <x:v>预计项目数、节点数、导入大小、同时用户数与SLA</x:v>
      </x:c>
      <x:c r="E19" s="22" t="str">
        <x:v>IT/项目负责人</x:v>
      </x:c>
      <x:c r="F19" s="22" t="str">
        <x:v>不虚构并发与SLA；先小规模试点</x:v>
      </x:c>
      <x:c r="G19" s="22" t="str">
        <x:v>正式性能验收</x:v>
      </x:c>
      <x:c r="H19" s="24" t="n">
        <x:v>46477</x:v>
      </x:c>
      <x:c r="I19" s="22" t="str">
        <x:v>待确认</x:v>
      </x:c>
      <x:c r="J19" s="22" t="str">
        <x:v>V0.2§10.3</x:v>
      </x:c>
    </x:row>
    <x:row r="20" ht="50" customHeight="1">
      <x:c r="A20" s="22" t="str">
        <x:v>D-15</x:v>
      </x:c>
      <x:c r="B20" s="22" t="str">
        <x:v>P0</x:v>
      </x:c>
      <x:c r="C20" s="22" t="str">
        <x:v>附件证据保存规则</x:v>
      </x:c>
      <x:c r="D20" s="22" t="str">
        <x:v>支持材料格式、大小、访问授权、是否需保留原件</x:v>
      </x:c>
      <x:c r="E20" s="22" t="str">
        <x:v>IT/业务</x:v>
      </x:c>
      <x:c r="F20" s="22" t="str">
        <x:v>只保存受控引用与哈希，模拟文件不作为证据</x:v>
      </x:c>
      <x:c r="G20" s="22" t="str">
        <x:v>节点核实与Excel附件</x:v>
      </x:c>
      <x:c r="H20" s="24" t="n">
        <x:v>46466</x:v>
      </x:c>
      <x:c r="I20" s="22" t="str">
        <x:v>待确认</x:v>
      </x:c>
      <x:c r="J20" s="22" t="str">
        <x:v>V0.2§3.09、§10.2</x:v>
      </x:c>
    </x:row>
    <x:row r="21" ht="50" customHeight="1">
      <x:c r="A21" s="22" t="str">
        <x:v>D-16</x:v>
      </x:c>
      <x:c r="B21" s="22" t="str">
        <x:v>P1</x:v>
      </x:c>
      <x:c r="C21" s="22" t="str">
        <x:v>报表输出格式与审核流程</x:v>
      </x:c>
      <x:c r="D21" s="22" t="str">
        <x:v>HTML/PDF用途、是否需要模板、谁批准对外流转</x:v>
      </x:c>
      <x:c r="E21" s="22" t="str">
        <x:v>项目管理/业务</x:v>
      </x:c>
      <x:c r="F21" s="22" t="str">
        <x:v>草稿明确标识未审核，导出格式候选</x:v>
      </x:c>
      <x:c r="G21" s="22" t="str">
        <x:v>正式阶段报告交付</x:v>
      </x:c>
      <x:c r="H21" s="24" t="n">
        <x:v>46477</x:v>
      </x:c>
      <x:c r="I21" s="22" t="str">
        <x:v>待确认</x:v>
      </x:c>
      <x:c r="J21" s="22" t="str">
        <x:v>V0.2§7.7、§11</x:v>
      </x:c>
    </x:row>
  </x:sheetData>
  <x:mergeCells>
    <x:mergeCell ref="A1:J2"/>
    <x:mergeCell ref="A3:J3"/>
  </x:mergeCells>
  <x:dataValidations count="1">
    <x:dataValidation type="list" sqref="I6:I21">
      <x:formula1>"待确认,评审中,已确认,有条件通过,不通过"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bb98934d91406d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27" hidden="0" customWidth="1"/>
    <x:col min="4" max="4" width="49" hidden="0" customWidth="1"/>
    <x:col min="5" max="5" width="17" hidden="0" customWidth="1"/>
    <x:col min="6" max="6" width="17" hidden="0" customWidth="1"/>
    <x:col min="7" max="7" width="11" hidden="0" customWidth="1"/>
    <x:col min="8" max="8" width="10" hidden="0" customWidth="1"/>
    <x:col min="9" max="9" width="21" hidden="0" customWidth="1"/>
    <x:col min="10" max="10" width="25" hidden="0" customWidth="1"/>
    <x:col min="11" max="11" width="22" hidden="0" customWidth="1"/>
    <x:col min="12" max="12" width="29" hidden="0" customWidth="1"/>
    <x:col min="13" max="13" width="27" hidden="0" customWidth="1"/>
    <x:col min="14" max="14" width="49" hidden="0" customWidth="1"/>
    <x:col min="15" max="15" width="15" hidden="0" customWidth="1"/>
    <x:col min="16" max="16" width="23" hidden="0" customWidth="1"/>
  </x:cols>
  <x:sheetData>
    <x:row r="1" ht="22" customHeight="1">
      <x:c r="A1" s="4" t="str">
        <x:v>项目总体量化评估智能体 · 50项开发WBS（建议）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ht="28" customHeight="1">
      <x:c r="A3" s="10" t="str">
        <x:v>子任务日期是原阶段范围内的建议安排；S4—S6才是正式编码阶段，所有WBS尚未正式启动。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</x:row>
    <x:row r="5" ht="31" customHeight="1">
      <x:c r="A5" s="16" t="str">
        <x:v>任务编号</x:v>
      </x:c>
      <x:c r="B5" s="16" t="str">
        <x:v>阶段</x:v>
      </x:c>
      <x:c r="C5" s="16" t="str">
        <x:v>工作任务</x:v>
      </x:c>
      <x:c r="D5" s="16" t="str">
        <x:v>工作内容</x:v>
      </x:c>
      <x:c r="E5" s="16" t="str">
        <x:v>建议开始</x:v>
      </x:c>
      <x:c r="F5" s="16" t="str">
        <x:v>建议结束</x:v>
      </x:c>
      <x:c r="G5" s="16" t="str">
        <x:v>自然日数</x:v>
      </x:c>
      <x:c r="H5" s="16" t="str">
        <x:v>优先级</x:v>
      </x:c>
      <x:c r="I5" s="16" t="str">
        <x:v>前置任务</x:v>
      </x:c>
      <x:c r="J5" s="16" t="str">
        <x:v>建议责任角色</x:v>
      </x:c>
      <x:c r="K5" s="16" t="str">
        <x:v>API模块</x:v>
      </x:c>
      <x:c r="L5" s="16" t="str">
        <x:v>业务前置确认</x:v>
      </x:c>
      <x:c r="M5" s="16" t="str">
        <x:v>交付物</x:v>
      </x:c>
      <x:c r="N5" s="16" t="str">
        <x:v>验收标准</x:v>
      </x:c>
      <x:c r="O5" s="16" t="str">
        <x:v>任务状态</x:v>
      </x:c>
      <x:c r="P5" s="16" t="str">
        <x:v>排期性质</x:v>
      </x:c>
    </x:row>
    <x:row r="6" ht="52" customHeight="1">
      <x:c r="A6" s="22" t="str">
        <x:v>S1-01</x:v>
      </x:c>
      <x:c r="B6" s="22" t="str">
        <x:v>S1</x:v>
      </x:c>
      <x:c r="C6" s="22" t="str">
        <x:v>确认一期试点项目边界</x:v>
      </x:c>
      <x:c r="D6" s="22" t="str">
        <x:v>整理拟试点项目类型和节点范围、首期不做内容</x:v>
      </x:c>
      <x:c r="E6" s="24" t="n">
        <x:v>46314</x:v>
      </x:c>
      <x:c r="F6" s="24" t="n">
        <x:v>46325</x:v>
      </x:c>
      <x:c r="G6" s="22" t="n">
        <x:f>F6-E6+1</x:f>
        <x:v>12</x:v>
      </x:c>
      <x:c r="H6" s="22" t="str">
        <x:v>P0</x:v>
      </x:c>
      <x:c r="I6" s="22" t="str">
        <x:v>—</x:v>
      </x:c>
      <x:c r="J6" s="22" t="str">
        <x:v>项目负责人 / 业务代表</x:v>
      </x:c>
      <x:c r="K6" s="22" t="str">
        <x:v>—</x:v>
      </x:c>
      <x:c r="L6" s="22" t="str">
        <x:v>试点项目清单</x:v>
      </x:c>
      <x:c r="M6" s="22" t="str">
        <x:v>《试点项目范围清单》</x:v>
      </x:c>
      <x:c r="N6" s="22" t="str">
        <x:v>形成书面试点范围且不含自动支付/外发</x:v>
      </x:c>
      <x:c r="O6" s="22" t="str">
        <x:v>未开始</x:v>
      </x:c>
      <x:c r="P6" s="22" t="str">
        <x:v>建议拆解；需会签</x:v>
      </x:c>
    </x:row>
    <x:row r="7" ht="52" customHeight="1">
      <x:c r="A7" s="22" t="str">
        <x:v>S1-02</x:v>
      </x:c>
      <x:c r="B7" s="22" t="str">
        <x:v>S1</x:v>
      </x:c>
      <x:c r="C7" s="22" t="str">
        <x:v>梳理项目台账与业务编码</x:v>
      </x:c>
      <x:c r="D7" s="22" t="str">
        <x:v>核对项目编号、类型、负责人、组织和唯一性规则</x:v>
      </x:c>
      <x:c r="E7" s="24" t="n">
        <x:v>46318</x:v>
      </x:c>
      <x:c r="F7" s="24" t="n">
        <x:v>46332</x:v>
      </x:c>
      <x:c r="G7" s="22" t="n">
        <x:f>F7-E7+1</x:f>
        <x:v>15</x:v>
      </x:c>
      <x:c r="H7" s="22" t="str">
        <x:v>P0</x:v>
      </x:c>
      <x:c r="I7" s="22" t="str">
        <x:v>S1-01</x:v>
      </x:c>
      <x:c r="J7" s="22" t="str">
        <x:v>项目计划管理人员</x:v>
      </x:c>
      <x:c r="K7" s="22" t="str">
        <x:v>/projects</x:v>
      </x:c>
      <x:c r="L7" s="22" t="str">
        <x:v>业务编号规则</x:v>
      </x:c>
      <x:c r="M7" s="22" t="str">
        <x:v>《字段与编码清单》</x:v>
      </x:c>
      <x:c r="N7" s="22" t="str">
        <x:v>真实样例字段有来源且重复编号规则明确</x:v>
      </x:c>
      <x:c r="O7" s="22" t="str">
        <x:v>未开始</x:v>
      </x:c>
      <x:c r="P7" s="22" t="str">
        <x:v>建议拆解；需会签</x:v>
      </x:c>
    </x:row>
    <x:row r="8" ht="52" customHeight="1">
      <x:c r="A8" s="22" t="str">
        <x:v>S1-03</x:v>
      </x:c>
      <x:c r="B8" s="22" t="str">
        <x:v>S1</x:v>
      </x:c>
      <x:c r="C8" s="22" t="str">
        <x:v>访谈节点计划与版本管理</x:v>
      </x:c>
      <x:c r="D8" s="22" t="str">
        <x:v>明确计划审批角色、合同约定日期与内部日期差异</x:v>
      </x:c>
      <x:c r="E8" s="24" t="n">
        <x:v>46321</x:v>
      </x:c>
      <x:c r="F8" s="24" t="n">
        <x:v>46339</x:v>
      </x:c>
      <x:c r="G8" s="22" t="n">
        <x:f>F8-E8+1</x:f>
        <x:v>19</x:v>
      </x:c>
      <x:c r="H8" s="22" t="str">
        <x:v>P0</x:v>
      </x:c>
      <x:c r="I8" s="22" t="str">
        <x:v>S1-01</x:v>
      </x:c>
      <x:c r="J8" s="22" t="str">
        <x:v>项目计划人员 / 业务负责人</x:v>
      </x:c>
      <x:c r="K8" s="22" t="str">
        <x:v>/plan-versions</x:v>
      </x:c>
      <x:c r="L8" s="22" t="str">
        <x:v>计划批准角色</x:v>
      </x:c>
      <x:c r="M8" s="22" t="str">
        <x:v>《节点版本流程记录》</x:v>
      </x:c>
      <x:c r="N8" s="22" t="str">
        <x:v>梳理V2→V3触发条件与历史留痕</x:v>
      </x:c>
      <x:c r="O8" s="22" t="str">
        <x:v>未开始</x:v>
      </x:c>
      <x:c r="P8" s="22" t="str">
        <x:v>建议拆解；需会签</x:v>
      </x:c>
    </x:row>
    <x:row r="9" ht="52" customHeight="1">
      <x:c r="A9" s="22" t="str">
        <x:v>S1-04</x:v>
      </x:c>
      <x:c r="B9" s="22" t="str">
        <x:v>S1</x:v>
      </x:c>
      <x:c r="C9" s="22" t="str">
        <x:v>梳理部门与权限</x:v>
      </x:c>
      <x:c r="D9" s="22" t="str">
        <x:v>记录节点审核、执行、通知审核、财务核实的授权关系</x:v>
      </x:c>
      <x:c r="E9" s="24" t="n">
        <x:v>46328</x:v>
      </x:c>
      <x:c r="F9" s="24" t="n">
        <x:v>46343</x:v>
      </x:c>
      <x:c r="G9" s="22" t="n">
        <x:f>F9-E9+1</x:f>
        <x:v>16</x:v>
      </x:c>
      <x:c r="H9" s="22" t="str">
        <x:v>P0</x:v>
      </x:c>
      <x:c r="I9" s="22" t="str">
        <x:v>S1-01</x:v>
      </x:c>
      <x:c r="J9" s="22" t="str">
        <x:v>业务负责人 / 信息化</x:v>
      </x:c>
      <x:c r="K9" s="22" t="str">
        <x:v>/users;/departments</x:v>
      </x:c>
      <x:c r="L9" s="22" t="str">
        <x:v>业务岗位名单</x:v>
      </x:c>
      <x:c r="M9" s="22" t="str">
        <x:v>《权限与责任候选矩阵》</x:v>
      </x:c>
      <x:c r="N9" s="22" t="str">
        <x:v>各操作至少有候选角色和责任人</x:v>
      </x:c>
      <x:c r="O9" s="22" t="str">
        <x:v>未开始</x:v>
      </x:c>
      <x:c r="P9" s="22" t="str">
        <x:v>建议拆解；需会签</x:v>
      </x:c>
    </x:row>
    <x:row r="10" ht="52" customHeight="1">
      <x:c r="A10" s="22" t="str">
        <x:v>S1-05</x:v>
      </x:c>
      <x:c r="B10" s="22" t="str">
        <x:v>S1</x:v>
      </x:c>
      <x:c r="C10" s="22" t="str">
        <x:v>盘点收付款资料来源</x:v>
      </x:c>
      <x:c r="D10" s="22" t="str">
        <x:v>区分合同节点、收付款计划和实际已核实记录来源</x:v>
      </x:c>
      <x:c r="E10" s="24" t="n">
        <x:v>46330</x:v>
      </x:c>
      <x:c r="F10" s="24" t="n">
        <x:v>46346</x:v>
      </x:c>
      <x:c r="G10" s="22" t="n">
        <x:f>F10-E10+1</x:f>
        <x:v>17</x:v>
      </x:c>
      <x:c r="H10" s="22" t="str">
        <x:v>P0</x:v>
      </x:c>
      <x:c r="I10" s="22" t="str">
        <x:v>S1-01</x:v>
      </x:c>
      <x:c r="J10" s="22" t="str">
        <x:v>财务与项目部门</x:v>
      </x:c>
      <x:c r="K10" s="22" t="str">
        <x:v>/financial-records</x:v>
      </x:c>
      <x:c r="L10" s="22" t="str">
        <x:v>财务授权与业务口径</x:v>
      </x:c>
      <x:c r="M10" s="22" t="str">
        <x:v>《财务数据来源清单》</x:v>
      </x:c>
      <x:c r="N10" s="22" t="str">
        <x:v>明确计划不能替代实际，缺失信息标注待核实</x:v>
      </x:c>
      <x:c r="O10" s="22" t="str">
        <x:v>未开始</x:v>
      </x:c>
      <x:c r="P10" s="22" t="str">
        <x:v>建议拆解；需会签</x:v>
      </x:c>
    </x:row>
    <x:row r="11" ht="52" customHeight="1">
      <x:c r="A11" s="22" t="str">
        <x:v>S1-06</x:v>
      </x:c>
      <x:c r="B11" s="22" t="str">
        <x:v>S1</x:v>
      </x:c>
      <x:c r="C11" s="22" t="str">
        <x:v>调研企业环境与通知渠道</x:v>
      </x:c>
      <x:c r="D11" s="22" t="str">
        <x:v>核实可用数据库、网络、安全、SSO、邮件/IM渠道</x:v>
      </x:c>
      <x:c r="E11" s="24" t="n">
        <x:v>46331</x:v>
      </x:c>
      <x:c r="F11" s="24" t="n">
        <x:v>46351</x:v>
      </x:c>
      <x:c r="G11" s="22" t="n">
        <x:f>F11-E11+1</x:f>
        <x:v>21</x:v>
      </x:c>
      <x:c r="H11" s="22" t="str">
        <x:v>P1</x:v>
      </x:c>
      <x:c r="I11" s="22" t="str">
        <x:v>S1-04</x:v>
      </x:c>
      <x:c r="J11" s="22" t="str">
        <x:v>信息化 / 运维</x:v>
      </x:c>
      <x:c r="K11" s="22" t="str">
        <x:v>/notifications</x:v>
      </x:c>
      <x:c r="L11" s="22" t="str">
        <x:v>企业平台标准</x:v>
      </x:c>
      <x:c r="M11" s="22" t="str">
        <x:v>《IT环境与接入约束》</x:v>
      </x:c>
      <x:c r="N11" s="22" t="str">
        <x:v>明确部署边界；外部投递开关默认关</x:v>
      </x:c>
      <x:c r="O11" s="22" t="str">
        <x:v>未开始</x:v>
      </x:c>
      <x:c r="P11" s="22" t="str">
        <x:v>建议拆解；需会签</x:v>
      </x:c>
    </x:row>
    <x:row r="12" ht="52" customHeight="1">
      <x:c r="A12" s="22" t="str">
        <x:v>S1-07</x:v>
      </x:c>
      <x:c r="B12" s="22" t="str">
        <x:v>S1</x:v>
      </x:c>
      <x:c r="C12" s="22" t="str">
        <x:v>评审原型及模拟规则</x:v>
      </x:c>
      <x:c r="D12" s="22" t="str">
        <x:v>按Figma演示节点录入—提醒—反馈—量化—报告并记录差距</x:v>
      </x:c>
      <x:c r="E12" s="24" t="n">
        <x:v>46342</x:v>
      </x:c>
      <x:c r="F12" s="24" t="n">
        <x:v>46356</x:v>
      </x:c>
      <x:c r="G12" s="22" t="n">
        <x:f>F12-E12+1</x:f>
        <x:v>15</x:v>
      </x:c>
      <x:c r="H12" s="22" t="str">
        <x:v>P0</x:v>
      </x:c>
      <x:c r="I12" s="22" t="str">
        <x:v>S1-02;S1-03;S1-04</x:v>
      </x:c>
      <x:c r="J12" s="22" t="str">
        <x:v>业务代表 / 产品设计</x:v>
      </x:c>
      <x:c r="K12" s="22" t="str">
        <x:v>—</x:v>
      </x:c>
      <x:c r="L12" s="22" t="str">
        <x:v>业务关键人员参与</x:v>
      </x:c>
      <x:c r="M12" s="22" t="str">
        <x:v>《原型评审问题清单》</x:v>
      </x:c>
      <x:c r="N12" s="22" t="str">
        <x:v>流程缺口可追溯到需求编号与问题</x:v>
      </x:c>
      <x:c r="O12" s="22" t="str">
        <x:v>未开始</x:v>
      </x:c>
      <x:c r="P12" s="22" t="str">
        <x:v>建议拆解；需会签</x:v>
      </x:c>
    </x:row>
    <x:row r="13" ht="52" customHeight="1">
      <x:c r="A13" s="22" t="str">
        <x:v>S2-01</x:v>
      </x:c>
      <x:c r="B13" s="22" t="str">
        <x:v>S2</x:v>
      </x:c>
      <x:c r="C13" s="22" t="str">
        <x:v>整理真实试点项目样例</x:v>
      </x:c>
      <x:c r="D13" s="22" t="str">
        <x:v>选取可授权的项目计划、里程碑清单及版本记录</x:v>
      </x:c>
      <x:c r="E13" s="24" t="n">
        <x:v>46357</x:v>
      </x:c>
      <x:c r="F13" s="24" t="n">
        <x:v>46379</x:v>
      </x:c>
      <x:c r="G13" s="22" t="n">
        <x:f>F13-E13+1</x:f>
        <x:v>23</x:v>
      </x:c>
      <x:c r="H13" s="22" t="str">
        <x:v>P0</x:v>
      </x:c>
      <x:c r="I13" s="22" t="str">
        <x:v>S1-01;S1-02</x:v>
      </x:c>
      <x:c r="J13" s="22" t="str">
        <x:v>项目计划人员</x:v>
      </x:c>
      <x:c r="K13" s="22" t="str">
        <x:v>—</x:v>
      </x:c>
      <x:c r="L13" s="22" t="str">
        <x:v>试点资料授权</x:v>
      </x:c>
      <x:c r="M13" s="22" t="str">
        <x:v>《项目节点样例包》</x:v>
      </x:c>
      <x:c r="N13" s="22" t="str">
        <x:v>至少一套获授权的可核对数据及来源</x:v>
      </x:c>
      <x:c r="O13" s="22" t="str">
        <x:v>未开始</x:v>
      </x:c>
      <x:c r="P13" s="22" t="str">
        <x:v>建议拆解；需会签</x:v>
      </x:c>
    </x:row>
    <x:row r="14" ht="52" customHeight="1">
      <x:c r="A14" s="22" t="str">
        <x:v>S2-02</x:v>
      </x:c>
      <x:c r="B14" s="22" t="str">
        <x:v>S2</x:v>
      </x:c>
      <x:c r="C14" s="22" t="str">
        <x:v>建立首批节点类别字典</x:v>
      </x:c>
      <x:c r="D14" s="22" t="str">
        <x:v>分类合同签约、设计、采购、收款、付款、验收和交付</x:v>
      </x:c>
      <x:c r="E14" s="24" t="n">
        <x:v>46371</x:v>
      </x:c>
      <x:c r="F14" s="24" t="n">
        <x:v>46395</x:v>
      </x:c>
      <x:c r="G14" s="22" t="n">
        <x:f>F14-E14+1</x:f>
        <x:v>25</x:v>
      </x:c>
      <x:c r="H14" s="22" t="str">
        <x:v>P0</x:v>
      </x:c>
      <x:c r="I14" s="22" t="str">
        <x:v>S1-03;S2-01</x:v>
      </x:c>
      <x:c r="J14" s="22" t="str">
        <x:v>业务规则维护人</x:v>
      </x:c>
      <x:c r="K14" s="22" t="str">
        <x:v>/dictionaries/node-types</x:v>
      </x:c>
      <x:c r="L14" s="22" t="str">
        <x:v>节点分类确认</x:v>
      </x:c>
      <x:c r="M14" s="22" t="str">
        <x:v>《节点类别字典》</x:v>
      </x:c>
      <x:c r="N14" s="22" t="str">
        <x:v>节点类型可唯一归类且注明适用场景</x:v>
      </x:c>
      <x:c r="O14" s="22" t="str">
        <x:v>未开始</x:v>
      </x:c>
      <x:c r="P14" s="22" t="str">
        <x:v>建议拆解；需会签</x:v>
      </x:c>
    </x:row>
    <x:row r="15" ht="52" customHeight="1">
      <x:c r="A15" s="22" t="str">
        <x:v>S2-03</x:v>
      </x:c>
      <x:c r="B15" s="22" t="str">
        <x:v>S2</x:v>
      </x:c>
      <x:c r="C15" s="22" t="str">
        <x:v>标准动作模板与证明材料</x:v>
      </x:c>
      <x:c r="D15" s="22" t="str">
        <x:v>明确每类节点的动作、责任岗位、资料、完成凭证</x:v>
      </x:c>
      <x:c r="E15" s="24" t="n">
        <x:v>46380</x:v>
      </x:c>
      <x:c r="F15" s="24" t="n">
        <x:v>46415</x:v>
      </x:c>
      <x:c r="G15" s="22" t="n">
        <x:f>F15-E15+1</x:f>
        <x:v>36</x:v>
      </x:c>
      <x:c r="H15" s="22" t="str">
        <x:v>P0</x:v>
      </x:c>
      <x:c r="I15" s="22" t="str">
        <x:v>S2-02</x:v>
      </x:c>
      <x:c r="J15" s="22" t="str">
        <x:v>业务规则维护人 / 部门负责人</x:v>
      </x:c>
      <x:c r="K15" s="22" t="str">
        <x:v>/action-templates</x:v>
      </x:c>
      <x:c r="L15" s="22" t="str">
        <x:v>标准动作确认</x:v>
      </x:c>
      <x:c r="M15" s="22" t="str">
        <x:v>《标准动作模板》</x:v>
      </x:c>
      <x:c r="N15" s="22" t="str">
        <x:v>模板动作可执行、能验收且有业务确认</x:v>
      </x:c>
      <x:c r="O15" s="22" t="str">
        <x:v>未开始</x:v>
      </x:c>
      <x:c r="P15" s="22" t="str">
        <x:v>建议拆解；需会签</x:v>
      </x:c>
    </x:row>
    <x:row r="16" ht="52" customHeight="1">
      <x:c r="A16" s="22" t="str">
        <x:v>S2-04</x:v>
      </x:c>
      <x:c r="B16" s="22" t="str">
        <x:v>S2</x:v>
      </x:c>
      <x:c r="C16" s="22" t="str">
        <x:v>提醒日期与通知规则</x:v>
      </x:c>
      <x:c r="D16" s="22" t="str">
        <x:v>确认提前天数、自然日/工作日、轮次、补发和取消规则</x:v>
      </x:c>
      <x:c r="E16" s="24" t="n">
        <x:v>46391</x:v>
      </x:c>
      <x:c r="F16" s="24" t="n">
        <x:v>46423</x:v>
      </x:c>
      <x:c r="G16" s="22" t="n">
        <x:f>F16-E16+1</x:f>
        <x:v>33</x:v>
      </x:c>
      <x:c r="H16" s="22" t="str">
        <x:v>P0</x:v>
      </x:c>
      <x:c r="I16" s="22" t="str">
        <x:v>S1-03;S2-02</x:v>
      </x:c>
      <x:c r="J16" s="22" t="str">
        <x:v>业务部门 / 项目管理</x:v>
      </x:c>
      <x:c r="K16" s="22" t="str">
        <x:v>/reminder-rules</x:v>
      </x:c>
      <x:c r="L16" s="22" t="str">
        <x:v>企业日历与触发口径</x:v>
      </x:c>
      <x:c r="M16" s="22" t="str">
        <x:v>《提醒规则表》</x:v>
      </x:c>
      <x:c r="N16" s="22" t="str">
        <x:v>含节假日、计划改版、重复生成测试规则</x:v>
      </x:c>
      <x:c r="O16" s="22" t="str">
        <x:v>未开始</x:v>
      </x:c>
      <x:c r="P16" s="22" t="str">
        <x:v>建议拆解；需会签</x:v>
      </x:c>
    </x:row>
    <x:row r="17" ht="52" customHeight="1">
      <x:c r="A17" s="22" t="str">
        <x:v>S2-05</x:v>
      </x:c>
      <x:c r="B17" s="22" t="str">
        <x:v>S2</x:v>
      </x:c>
      <x:c r="C17" s="22" t="str">
        <x:v>导入模板与字段映射</x:v>
      </x:c>
      <x:c r="D17" s="22" t="str">
        <x:v>按现有Excel字段制作项目/节点模板，确认跳过错误行策略</x:v>
      </x:c>
      <x:c r="E17" s="24" t="n">
        <x:v>46398</x:v>
      </x:c>
      <x:c r="F17" s="24" t="n">
        <x:v>46423</x:v>
      </x:c>
      <x:c r="G17" s="22" t="n">
        <x:f>F17-E17+1</x:f>
        <x:v>26</x:v>
      </x:c>
      <x:c r="H17" s="22" t="str">
        <x:v>P0</x:v>
      </x:c>
      <x:c r="I17" s="22" t="str">
        <x:v>S2-01;S2-02</x:v>
      </x:c>
      <x:c r="J17" s="22" t="str">
        <x:v>项目计划人员 / IT</x:v>
      </x:c>
      <x:c r="K17" s="22" t="str">
        <x:v>/imports</x:v>
      </x:c>
      <x:c r="L17" s="22" t="str">
        <x:v>部分成功策略</x:v>
      </x:c>
      <x:c r="M17" s="22" t="str">
        <x:v>《Excel导入模板与映射表》</x:v>
      </x:c>
      <x:c r="N17" s="22" t="str">
        <x:v>重复项目/缺失编号均可定位原因</x:v>
      </x:c>
      <x:c r="O17" s="22" t="str">
        <x:v>未开始</x:v>
      </x:c>
      <x:c r="P17" s="22" t="str">
        <x:v>建议拆解；需会签</x:v>
      </x:c>
    </x:row>
    <x:row r="18" ht="52" customHeight="1">
      <x:c r="A18" s="22" t="str">
        <x:v>S2-06</x:v>
      </x:c>
      <x:c r="B18" s="22" t="str">
        <x:v>S2</x:v>
      </x:c>
      <x:c r="C18" s="22" t="str">
        <x:v>收付款样例与核实流程</x:v>
      </x:c>
      <x:c r="D18" s="22" t="str">
        <x:v>形成计划应收应付、实际收付、核实凭据两套数据</x:v>
      </x:c>
      <x:c r="E18" s="24" t="n">
        <x:v>46405</x:v>
      </x:c>
      <x:c r="F18" s="24" t="n">
        <x:v>46430</x:v>
      </x:c>
      <x:c r="G18" s="22" t="n">
        <x:f>F18-E18+1</x:f>
        <x:v>26</x:v>
      </x:c>
      <x:c r="H18" s="22" t="str">
        <x:v>P0</x:v>
      </x:c>
      <x:c r="I18" s="22" t="str">
        <x:v>S1-05;S2-01</x:v>
      </x:c>
      <x:c r="J18" s="22" t="str">
        <x:v>财务核实人</x:v>
      </x:c>
      <x:c r="K18" s="22" t="str">
        <x:v>/financial-plans;/financial-actuals</x:v>
      </x:c>
      <x:c r="L18" s="22" t="str">
        <x:v>财务访问授权</x:v>
      </x:c>
      <x:c r="M18" s="22" t="str">
        <x:v>《收付款试点样例》</x:v>
      </x:c>
      <x:c r="N18" s="22" t="str">
        <x:v>缺失实收不等于0、计划不算到账</x:v>
      </x:c>
      <x:c r="O18" s="22" t="str">
        <x:v>未开始</x:v>
      </x:c>
      <x:c r="P18" s="22" t="str">
        <x:v>建议拆解；需会签</x:v>
      </x:c>
    </x:row>
    <x:row r="19" ht="52" customHeight="1">
      <x:c r="A19" s="22" t="str">
        <x:v>S2-07</x:v>
      </x:c>
      <x:c r="B19" s="22" t="str">
        <x:v>S2</x:v>
      </x:c>
      <x:c r="C19" s="22" t="str">
        <x:v>指标口径及异常类型确认</x:v>
      </x:c>
      <x:c r="D19" s="22" t="str">
        <x:v>明确按期、延期已完成、逾期未完成、待核对</x:v>
      </x:c>
      <x:c r="E19" s="24" t="n">
        <x:v>46412</x:v>
      </x:c>
      <x:c r="F19" s="24" t="n">
        <x:v>46437</x:v>
      </x:c>
      <x:c r="G19" s="22" t="n">
        <x:f>F19-E19+1</x:f>
        <x:v>26</x:v>
      </x:c>
      <x:c r="H19" s="22" t="str">
        <x:v>P0</x:v>
      </x:c>
      <x:c r="I19" s="22" t="str">
        <x:v>S2-01;S2-06</x:v>
      </x:c>
      <x:c r="J19" s="22" t="str">
        <x:v>业务负责人 / 财务</x:v>
      </x:c>
      <x:c r="K19" s="22" t="str">
        <x:v>/metrics</x:v>
      </x:c>
      <x:c r="L19" s="22" t="str">
        <x:v>逾期未完成分母规则</x:v>
      </x:c>
      <x:c r="M19" s="22" t="str">
        <x:v>《指标定义与口径表》</x:v>
      </x:c>
      <x:c r="N19" s="22" t="str">
        <x:v>给出分子分母、统计截止日及零分母显示</x:v>
      </x:c>
      <x:c r="O19" s="22" t="str">
        <x:v>未开始</x:v>
      </x:c>
      <x:c r="P19" s="22" t="str">
        <x:v>建议拆解；需会签</x:v>
      </x:c>
    </x:row>
    <x:row r="20" ht="52" customHeight="1">
      <x:c r="A20" s="22" t="str">
        <x:v>S2-08</x:v>
      </x:c>
      <x:c r="B20" s="22" t="str">
        <x:v>S2</x:v>
      </x:c>
      <x:c r="C20" s="22" t="str">
        <x:v>业务资料与模板会签</x:v>
      </x:c>
      <x:c r="D20" s="22" t="str">
        <x:v>会签模板版本、发送对象、计划生效角色与首批数据</x:v>
      </x:c>
      <x:c r="E20" s="24" t="n">
        <x:v>46434</x:v>
      </x:c>
      <x:c r="F20" s="24" t="n">
        <x:v>46444</x:v>
      </x:c>
      <x:c r="G20" s="22" t="n">
        <x:f>F20-E20+1</x:f>
        <x:v>11</x:v>
      </x:c>
      <x:c r="H20" s="22" t="str">
        <x:v>P0</x:v>
      </x:c>
      <x:c r="I20" s="22" t="str">
        <x:v>S2-03;S2-04;S2-05;S2-07</x:v>
      </x:c>
      <x:c r="J20" s="22" t="str">
        <x:v>项目负责人 / 业务部门</x:v>
      </x:c>
      <x:c r="K20" s="22" t="str">
        <x:v>—</x:v>
      </x:c>
      <x:c r="L20" s="22" t="str">
        <x:v>相关部门会签</x:v>
      </x:c>
      <x:c r="M20" s="22" t="str">
        <x:v>《业务规则会签记录》</x:v>
      </x:c>
      <x:c r="N20" s="22" t="str">
        <x:v>核心P0事项有确认人、日期、版本</x:v>
      </x:c>
      <x:c r="O20" s="22" t="str">
        <x:v>未开始</x:v>
      </x:c>
      <x:c r="P20" s="22" t="str">
        <x:v>建议拆解；需会签</x:v>
      </x:c>
    </x:row>
    <x:row r="21" ht="52" customHeight="1">
      <x:c r="A21" s="22" t="str">
        <x:v>S3-01</x:v>
      </x:c>
      <x:c r="B21" s="22" t="str">
        <x:v>S3</x:v>
      </x:c>
      <x:c r="C21" s="22" t="str">
        <x:v>冻结需求与范围基线</x:v>
      </x:c>
      <x:c r="D21" s="22" t="str">
        <x:v>从V0.2剔除非一期必须接口，标记只读/预留/禁止启用</x:v>
      </x:c>
      <x:c r="E21" s="24" t="n">
        <x:v>46447</x:v>
      </x:c>
      <x:c r="F21" s="24" t="n">
        <x:v>46454</x:v>
      </x:c>
      <x:c r="G21" s="22" t="n">
        <x:f>F21-E21+1</x:f>
        <x:v>8</x:v>
      </x:c>
      <x:c r="H21" s="22" t="str">
        <x:v>P0</x:v>
      </x:c>
      <x:c r="I21" s="22" t="str">
        <x:v>S2-08</x:v>
      </x:c>
      <x:c r="J21" s="22" t="str">
        <x:v>产品负责人 / 研发</x:v>
      </x:c>
      <x:c r="K21" s="22" t="str">
        <x:v>—</x:v>
      </x:c>
      <x:c r="L21" s="22" t="str">
        <x:v>业务规则会签</x:v>
      </x:c>
      <x:c r="M21" s="22" t="str">
        <x:v>《需求范围基线V1》</x:v>
      </x:c>
      <x:c r="N21" s="22" t="str">
        <x:v>P0业务路径都有对应功能与验收</x:v>
      </x:c>
      <x:c r="O21" s="22" t="str">
        <x:v>未开始</x:v>
      </x:c>
      <x:c r="P21" s="22" t="str">
        <x:v>建议拆解；需会签</x:v>
      </x:c>
    </x:row>
    <x:row r="22" ht="52" customHeight="1">
      <x:c r="A22" s="22" t="str">
        <x:v>S3-02</x:v>
      </x:c>
      <x:c r="B22" s="22" t="str">
        <x:v>S3</x:v>
      </x:c>
      <x:c r="C22" s="22" t="str">
        <x:v>确认数据库与组织权限方案</x:v>
      </x:c>
      <x:c r="D22" s="22" t="str">
        <x:v>根据公司可用DB/SSO/存储确定实现栈和权限边界</x:v>
      </x:c>
      <x:c r="E22" s="24" t="n">
        <x:v>46447</x:v>
      </x:c>
      <x:c r="F22" s="24" t="n">
        <x:v>46456</x:v>
      </x:c>
      <x:c r="G22" s="22" t="n">
        <x:f>F22-E22+1</x:f>
        <x:v>10</x:v>
      </x:c>
      <x:c r="H22" s="22" t="str">
        <x:v>P0</x:v>
      </x:c>
      <x:c r="I22" s="22" t="str">
        <x:v>S1-06;S3-01</x:v>
      </x:c>
      <x:c r="J22" s="22" t="str">
        <x:v>IT/信息安全 / 研发</x:v>
      </x:c>
      <x:c r="K22" s="22" t="str">
        <x:v>—</x:v>
      </x:c>
      <x:c r="L22" s="22" t="str">
        <x:v>数据库/部署批准</x:v>
      </x:c>
      <x:c r="M22" s="22" t="str">
        <x:v>《技术环境基线》</x:v>
      </x:c>
      <x:c r="N22" s="22" t="str">
        <x:v>选型文档记录授权和部署约束</x:v>
      </x:c>
      <x:c r="O22" s="22" t="str">
        <x:v>未开始</x:v>
      </x:c>
      <x:c r="P22" s="22" t="str">
        <x:v>建议拆解；需会签</x:v>
      </x:c>
    </x:row>
    <x:row r="23" ht="52" customHeight="1">
      <x:c r="A23" s="22" t="str">
        <x:v>S3-03</x:v>
      </x:c>
      <x:c r="B23" s="22" t="str">
        <x:v>S3</x:v>
      </x:c>
      <x:c r="C23" s="22" t="str">
        <x:v>冻结逻辑表与迁移顺序</x:v>
      </x:c>
      <x:c r="D23" s="22" t="str">
        <x:v>评审30候选表，先定义核心表与非核心表，确定唯一索引与审计</x:v>
      </x:c>
      <x:c r="E23" s="24" t="n">
        <x:v>46452</x:v>
      </x:c>
      <x:c r="F23" s="24" t="n">
        <x:v>46463</x:v>
      </x:c>
      <x:c r="G23" s="22" t="n">
        <x:f>F23-E23+1</x:f>
        <x:v>12</x:v>
      </x:c>
      <x:c r="H23" s="22" t="str">
        <x:v>P0</x:v>
      </x:c>
      <x:c r="I23" s="22" t="str">
        <x:v>S3-01;S3-02</x:v>
      </x:c>
      <x:c r="J23" s="22" t="str">
        <x:v>后端 / DBA</x:v>
      </x:c>
      <x:c r="K23" s="22" t="str">
        <x:v>—</x:v>
      </x:c>
      <x:c r="L23" s="22" t="str">
        <x:v>主键/编码/版本规则</x:v>
      </x:c>
      <x:c r="M23" s="22" t="str">
        <x:v>《数据库设计定稿》</x:v>
      </x:c>
      <x:c r="N23" s="22" t="str">
        <x:v>关系/字段/唯一性/版本迁移规则可审查</x:v>
      </x:c>
      <x:c r="O23" s="22" t="str">
        <x:v>未开始</x:v>
      </x:c>
      <x:c r="P23" s="22" t="str">
        <x:v>建议拆解；需会签</x:v>
      </x:c>
    </x:row>
    <x:row r="24" ht="52" customHeight="1">
      <x:c r="A24" s="22" t="str">
        <x:v>S3-04</x:v>
      </x:c>
      <x:c r="B24" s="22" t="str">
        <x:v>S3</x:v>
      </x:c>
      <x:c r="C24" s="22" t="str">
        <x:v>冻结API协议和错误码</x:v>
      </x:c>
      <x:c r="D24" s="22" t="str">
        <x:v>审查61候选接口的P0/后续范围、入参与错误模式</x:v>
      </x:c>
      <x:c r="E24" s="24" t="n">
        <x:v>46455</x:v>
      </x:c>
      <x:c r="F24" s="24" t="n">
        <x:v>46466</x:v>
      </x:c>
      <x:c r="G24" s="22" t="n">
        <x:f>F24-E24+1</x:f>
        <x:v>12</x:v>
      </x:c>
      <x:c r="H24" s="22" t="str">
        <x:v>P0</x:v>
      </x:c>
      <x:c r="I24" s="22" t="str">
        <x:v>S3-01;S3-03</x:v>
      </x:c>
      <x:c r="J24" s="22" t="str">
        <x:v>前后端</x:v>
      </x:c>
      <x:c r="K24" s="22" t="str">
        <x:v>—</x:v>
      </x:c>
      <x:c r="L24" s="22" t="str">
        <x:v>状态机与权限确认</x:v>
      </x:c>
      <x:c r="M24" s="22" t="str">
        <x:v>《API契约定稿》</x:v>
      </x:c>
      <x:c r="N24" s="22" t="str">
        <x:v>OpenAPI约定、错误码、并发幂等均定义</x:v>
      </x:c>
      <x:c r="O24" s="22" t="str">
        <x:v>未开始</x:v>
      </x:c>
      <x:c r="P24" s="22" t="str">
        <x:v>建议拆解；需会签</x:v>
      </x:c>
    </x:row>
    <x:row r="25" ht="52" customHeight="1">
      <x:c r="A25" s="22" t="str">
        <x:v>S3-05</x:v>
      </x:c>
      <x:c r="B25" s="22" t="str">
        <x:v>S3</x:v>
      </x:c>
      <x:c r="C25" s="22" t="str">
        <x:v>定义提醒与计划变更状态机</x:v>
      </x:c>
      <x:c r="D25" s="22" t="str">
        <x:v>构造审核生效/失效、规则轮次、唯一业务键测试</x:v>
      </x:c>
      <x:c r="E25" s="24" t="n">
        <x:v>46456</x:v>
      </x:c>
      <x:c r="F25" s="24" t="n">
        <x:v>46468</x:v>
      </x:c>
      <x:c r="G25" s="22" t="n">
        <x:f>F25-E25+1</x:f>
        <x:v>13</x:v>
      </x:c>
      <x:c r="H25" s="22" t="str">
        <x:v>P0</x:v>
      </x:c>
      <x:c r="I25" s="22" t="str">
        <x:v>S2-04;S3-03</x:v>
      </x:c>
      <x:c r="J25" s="22" t="str">
        <x:v>后端 / 业务规则</x:v>
      </x:c>
      <x:c r="K25" s="22" t="str">
        <x:v>/reminder-jobs</x:v>
      </x:c>
      <x:c r="L25" s="22" t="str">
        <x:v>提醒/审批规则</x:v>
      </x:c>
      <x:c r="M25" s="22" t="str">
        <x:v>《规则状态机说明》</x:v>
      </x:c>
      <x:c r="N25" s="22" t="str">
        <x:v>计划改版能作废旧未发草稿，已发保留</x:v>
      </x:c>
      <x:c r="O25" s="22" t="str">
        <x:v>未开始</x:v>
      </x:c>
      <x:c r="P25" s="22" t="str">
        <x:v>建议拆解；需会签</x:v>
      </x:c>
    </x:row>
    <x:row r="26" ht="52" customHeight="1">
      <x:c r="A26" s="22" t="str">
        <x:v>S3-06</x:v>
      </x:c>
      <x:c r="B26" s="22" t="str">
        <x:v>S3</x:v>
      </x:c>
      <x:c r="C26" s="22" t="str">
        <x:v>配置自动化测试与模拟样例</x:v>
      </x:c>
      <x:c r="D26" s="22" t="str">
        <x:v>对照TC-001～018形成API断言与数据固定日期</x:v>
      </x:c>
      <x:c r="E26" s="24" t="n">
        <x:v>46461</x:v>
      </x:c>
      <x:c r="F26" s="24" t="n">
        <x:v>46471</x:v>
      </x:c>
      <x:c r="G26" s="22" t="n">
        <x:f>F26-E26+1</x:f>
        <x:v>11</x:v>
      </x:c>
      <x:c r="H26" s="22" t="str">
        <x:v>P0</x:v>
      </x:c>
      <x:c r="I26" s="22" t="str">
        <x:v>S3-04;S2-05</x:v>
      </x:c>
      <x:c r="J26" s="22" t="str">
        <x:v>测试/后端</x:v>
      </x:c>
      <x:c r="K26" s="22" t="str">
        <x:v>—</x:v>
      </x:c>
      <x:c r="L26" s="22" t="str">
        <x:v>业务口径与Excel版本</x:v>
      </x:c>
      <x:c r="M26" s="22" t="str">
        <x:v>《测试规格V1》</x:v>
      </x:c>
      <x:c r="N26" s="22" t="str">
        <x:v>18条用例均有输入、断言与负责人</x:v>
      </x:c>
      <x:c r="O26" s="22" t="str">
        <x:v>未开始</x:v>
      </x:c>
      <x:c r="P26" s="22" t="str">
        <x:v>建议拆解；需会签</x:v>
      </x:c>
    </x:row>
    <x:row r="27" ht="52" customHeight="1">
      <x:c r="A27" s="22" t="str">
        <x:v>S3-07</x:v>
      </x:c>
      <x:c r="B27" s="22" t="str">
        <x:v>S3</x:v>
      </x:c>
      <x:c r="C27" s="22" t="str">
        <x:v>安全、审计与导入策略评审</x:v>
      </x:c>
      <x:c r="D27" s="22" t="str">
        <x:v>校验越权、上传防护、重复提交与敏感材料访问</x:v>
      </x:c>
      <x:c r="E27" s="24" t="n">
        <x:v>46462</x:v>
      </x:c>
      <x:c r="F27" s="24" t="n">
        <x:v>46475</x:v>
      </x:c>
      <x:c r="G27" s="22" t="n">
        <x:f>F27-E27+1</x:f>
        <x:v>14</x:v>
      </x:c>
      <x:c r="H27" s="22" t="str">
        <x:v>P0</x:v>
      </x:c>
      <x:c r="I27" s="22" t="str">
        <x:v>S3-03;S3-04</x:v>
      </x:c>
      <x:c r="J27" s="22" t="str">
        <x:v>信息安全/研发</x:v>
      </x:c>
      <x:c r="K27" s="22" t="str">
        <x:v>—</x:v>
      </x:c>
      <x:c r="L27" s="22" t="str">
        <x:v>信息化评审</x:v>
      </x:c>
      <x:c r="M27" s="22" t="str">
        <x:v>《安全与数据导入评审记录》</x:v>
      </x:c>
      <x:c r="N27" s="22" t="str">
        <x:v>P0风险有处理策略和审批记录</x:v>
      </x:c>
      <x:c r="O27" s="22" t="str">
        <x:v>未开始</x:v>
      </x:c>
      <x:c r="P27" s="22" t="str">
        <x:v>建议拆解；需会签</x:v>
      </x:c>
    </x:row>
    <x:row r="28" ht="52" customHeight="1">
      <x:c r="A28" s="22" t="str">
        <x:v>S3-08</x:v>
      </x:c>
      <x:c r="B28" s="22" t="str">
        <x:v>S3</x:v>
      </x:c>
      <x:c r="C28" s="22" t="str">
        <x:v>编码前技术方案会签</x:v>
      </x:c>
      <x:c r="D28" s="22" t="str">
        <x:v>冻结字段、接口、规则与可用测试环境，编制开发启动清单</x:v>
      </x:c>
      <x:c r="E28" s="24" t="n">
        <x:v>46472</x:v>
      </x:c>
      <x:c r="F28" s="24" t="n">
        <x:v>46477</x:v>
      </x:c>
      <x:c r="G28" s="22" t="n">
        <x:f>F28-E28+1</x:f>
        <x:v>6</x:v>
      </x:c>
      <x:c r="H28" s="22" t="str">
        <x:v>P0</x:v>
      </x:c>
      <x:c r="I28" s="22" t="str">
        <x:v>S3-03;S3-04;S3-05;S3-06;S3-07</x:v>
      </x:c>
      <x:c r="J28" s="22" t="str">
        <x:v>项目负责人 / IT</x:v>
      </x:c>
      <x:c r="K28" s="22" t="str">
        <x:v>—</x:v>
      </x:c>
      <x:c r="L28" s="22" t="str">
        <x:v>全部P0业务阻断处理</x:v>
      </x:c>
      <x:c r="M28" s="22" t="str">
        <x:v>《开发就绪签核单》</x:v>
      </x:c>
      <x:c r="N28" s="22" t="str">
        <x:v>必备P0决策已闭环或设置明确禁用边界</x:v>
      </x:c>
      <x:c r="O28" s="22" t="str">
        <x:v>未开始</x:v>
      </x:c>
      <x:c r="P28" s="22" t="str">
        <x:v>建议拆解；需会签</x:v>
      </x:c>
    </x:row>
    <x:row r="29" ht="52" customHeight="1">
      <x:c r="A29" s="22" t="str">
        <x:v>S4-01</x:v>
      </x:c>
      <x:c r="B29" s="22" t="str">
        <x:v>S4</x:v>
      </x:c>
      <x:c r="C29" s="22" t="str">
        <x:v>初始化前后端与测试基础</x:v>
      </x:c>
      <x:c r="D29" s="22" t="str">
        <x:v>建立Vue/FastAPI仓库、测试环境、配置管理和CI</x:v>
      </x:c>
      <x:c r="E29" s="24" t="n">
        <x:v>46478</x:v>
      </x:c>
      <x:c r="F29" s="24" t="n">
        <x:v>46482</x:v>
      </x:c>
      <x:c r="G29" s="22" t="n">
        <x:f>F29-E29+1</x:f>
        <x:v>5</x:v>
      </x:c>
      <x:c r="H29" s="22" t="str">
        <x:v>P0</x:v>
      </x:c>
      <x:c r="I29" s="22" t="str">
        <x:v>S3-08</x:v>
      </x:c>
      <x:c r="J29" s="22" t="str">
        <x:v>前端/后端/运维</x:v>
      </x:c>
      <x:c r="K29" s="22" t="str">
        <x:v>基础框架</x:v>
      </x:c>
      <x:c r="L29" s="22" t="str">
        <x:v>研发环境批准</x:v>
      </x:c>
      <x:c r="M29" s="22" t="str">
        <x:v>《系统骨架与运行说明》</x:v>
      </x:c>
      <x:c r="N29" s="22" t="str">
        <x:v>后端健康检查与前端启动均可用</x:v>
      </x:c>
      <x:c r="O29" s="22" t="str">
        <x:v>未开始</x:v>
      </x:c>
      <x:c r="P29" s="22" t="str">
        <x:v>建议拆解；需会签</x:v>
      </x:c>
    </x:row>
    <x:row r="30" ht="52" customHeight="1">
      <x:c r="A30" s="22" t="str">
        <x:v>S4-02</x:v>
      </x:c>
      <x:c r="B30" s="22" t="str">
        <x:v>S4</x:v>
      </x:c>
      <x:c r="C30" s="22" t="str">
        <x:v>数据库迁移与基础字典</x:v>
      </x:c>
      <x:c r="D30" s="22" t="str">
        <x:v>实现核心实体、迁移、人员/部门/类型字典</x:v>
      </x:c>
      <x:c r="E30" s="24" t="n">
        <x:v>46478</x:v>
      </x:c>
      <x:c r="F30" s="24" t="n">
        <x:v>46486</x:v>
      </x:c>
      <x:c r="G30" s="22" t="n">
        <x:f>F30-E30+1</x:f>
        <x:v>9</x:v>
      </x:c>
      <x:c r="H30" s="22" t="str">
        <x:v>P0</x:v>
      </x:c>
      <x:c r="I30" s="22" t="str">
        <x:v>S3-08</x:v>
      </x:c>
      <x:c r="J30" s="22" t="str">
        <x:v>后端/DBA</x:v>
      </x:c>
      <x:c r="K30" s="22" t="str">
        <x:v>基础字典</x:v>
      </x:c>
      <x:c r="L30" s="22" t="str">
        <x:v>数据库版本确定</x:v>
      </x:c>
      <x:c r="M30" s="22" t="str">
        <x:v>《核心迁移与字典接口》</x:v>
      </x:c>
      <x:c r="N30" s="22" t="str">
        <x:v>核心表迁移可逆，索引约束受自动测试保护</x:v>
      </x:c>
      <x:c r="O30" s="22" t="str">
        <x:v>未开始</x:v>
      </x:c>
      <x:c r="P30" s="22" t="str">
        <x:v>建议拆解；需会签</x:v>
      </x:c>
    </x:row>
    <x:row r="31" ht="52" customHeight="1">
      <x:c r="A31" s="22" t="str">
        <x:v>S4-03</x:v>
      </x:c>
      <x:c r="B31" s="22" t="str">
        <x:v>S4</x:v>
      </x:c>
      <x:c r="C31" s="22" t="str">
        <x:v>项目管理与项目概览API</x:v>
      </x:c>
      <x:c r="D31" s="22" t="str">
        <x:v>项目CRUD、授权项目列表、状态/类型筛选</x:v>
      </x:c>
      <x:c r="E31" s="24" t="n">
        <x:v>46483</x:v>
      </x:c>
      <x:c r="F31" s="24" t="n">
        <x:v>46490</x:v>
      </x:c>
      <x:c r="G31" s="22" t="n">
        <x:f>F31-E31+1</x:f>
        <x:v>8</x:v>
      </x:c>
      <x:c r="H31" s="22" t="str">
        <x:v>P0</x:v>
      </x:c>
      <x:c r="I31" s="22" t="str">
        <x:v>S4-01;S4-02</x:v>
      </x:c>
      <x:c r="J31" s="22" t="str">
        <x:v>前后端</x:v>
      </x:c>
      <x:c r="K31" s="22" t="str">
        <x:v>项目管理</x:v>
      </x:c>
      <x:c r="L31" s="22" t="str">
        <x:v>用户权限与编码规则</x:v>
      </x:c>
      <x:c r="M31" s="22" t="str">
        <x:v>《项目管理可运行模块》</x:v>
      </x:c>
      <x:c r="N31" s="22" t="str">
        <x:v>编号重复返回409，筛选及编辑权限生效</x:v>
      </x:c>
      <x:c r="O31" s="22" t="str">
        <x:v>未开始</x:v>
      </x:c>
      <x:c r="P31" s="22" t="str">
        <x:v>建议拆解；需会签</x:v>
      </x:c>
    </x:row>
    <x:row r="32" ht="52" customHeight="1">
      <x:c r="A32" s="22" t="str">
        <x:v>S4-04</x:v>
      </x:c>
      <x:c r="B32" s="22" t="str">
        <x:v>S4</x:v>
      </x:c>
      <x:c r="C32" s="22" t="str">
        <x:v>项目计划版本和节点快照</x:v>
      </x:c>
      <x:c r="D32" s="22" t="str">
        <x:v>实现草稿、diff、生效版本保护与唯一基准</x:v>
      </x:c>
      <x:c r="E32" s="24" t="n">
        <x:v>46483</x:v>
      </x:c>
      <x:c r="F32" s="24" t="n">
        <x:v>46493</x:v>
      </x:c>
      <x:c r="G32" s="22" t="n">
        <x:f>F32-E32+1</x:f>
        <x:v>11</x:v>
      </x:c>
      <x:c r="H32" s="22" t="str">
        <x:v>P0</x:v>
      </x:c>
      <x:c r="I32" s="22" t="str">
        <x:v>S4-02</x:v>
      </x:c>
      <x:c r="J32" s="22" t="str">
        <x:v>后端</x:v>
      </x:c>
      <x:c r="K32" s="22" t="str">
        <x:v>计划版本</x:v>
      </x:c>
      <x:c r="L32" s="22" t="str">
        <x:v>生效审批规则</x:v>
      </x:c>
      <x:c r="M32" s="22" t="str">
        <x:v>《计划版本服务》</x:v>
      </x:c>
      <x:c r="N32" s="22" t="str">
        <x:v>新旧版本不覆盖，历史及审批可追溯</x:v>
      </x:c>
      <x:c r="O32" s="22" t="str">
        <x:v>未开始</x:v>
      </x:c>
      <x:c r="P32" s="22" t="str">
        <x:v>建议拆解；需会签</x:v>
      </x:c>
    </x:row>
    <x:row r="33" ht="52" customHeight="1">
      <x:c r="A33" s="22" t="str">
        <x:v>S4-05</x:v>
      </x:c>
      <x:c r="B33" s="22" t="str">
        <x:v>S4</x:v>
      </x:c>
      <x:c r="C33" s="22" t="str">
        <x:v>节点时间轴与实际核实</x:v>
      </x:c>
      <x:c r="D33" s="22" t="str">
        <x:v>节点录入、查看、取消、实际提交与独立核实</x:v>
      </x:c>
      <x:c r="E33" s="24" t="n">
        <x:v>46487</x:v>
      </x:c>
      <x:c r="F33" s="24" t="n">
        <x:v>46498</x:v>
      </x:c>
      <x:c r="G33" s="22" t="n">
        <x:f>F33-E33+1</x:f>
        <x:v>12</x:v>
      </x:c>
      <x:c r="H33" s="22" t="str">
        <x:v>P0</x:v>
      </x:c>
      <x:c r="I33" s="22" t="str">
        <x:v>S4-03;S4-04</x:v>
      </x:c>
      <x:c r="J33" s="22" t="str">
        <x:v>前后端</x:v>
      </x:c>
      <x:c r="K33" s="22" t="str">
        <x:v>节点管理</x:v>
      </x:c>
      <x:c r="L33" s="22" t="str">
        <x:v>核实角色确认</x:v>
      </x:c>
      <x:c r="M33" s="22" t="str">
        <x:v>《节点与实际记录模块》</x:v>
      </x:c>
      <x:c r="N33" s="22" t="str">
        <x:v>提交不直接完成，延期+3天测试正确</x:v>
      </x:c>
      <x:c r="O33" s="22" t="str">
        <x:v>未开始</x:v>
      </x:c>
      <x:c r="P33" s="22" t="str">
        <x:v>建议拆解；需会签</x:v>
      </x:c>
    </x:row>
    <x:row r="34" ht="52" customHeight="1">
      <x:c r="A34" s="22" t="str">
        <x:v>S4-06</x:v>
      </x:c>
      <x:c r="B34" s="22" t="str">
        <x:v>S4</x:v>
      </x:c>
      <x:c r="C34" s="22" t="str">
        <x:v>动作模板及关联</x:v>
      </x:c>
      <x:c r="D34" s="22" t="str">
        <x:v>模板版本、人工批准、节点动作快照和匹配</x:v>
      </x:c>
      <x:c r="E34" s="24" t="n">
        <x:v>46487</x:v>
      </x:c>
      <x:c r="F34" s="24" t="n">
        <x:v>46498</x:v>
      </x:c>
      <x:c r="G34" s="22" t="n">
        <x:f>F34-E34+1</x:f>
        <x:v>12</x:v>
      </x:c>
      <x:c r="H34" s="22" t="str">
        <x:v>P0</x:v>
      </x:c>
      <x:c r="I34" s="22" t="str">
        <x:v>S4-02;S4-04</x:v>
      </x:c>
      <x:c r="J34" s="22" t="str">
        <x:v>前后端</x:v>
      </x:c>
      <x:c r="K34" s="22" t="str">
        <x:v>标准动作</x:v>
      </x:c>
      <x:c r="L34" s="22" t="str">
        <x:v>动作模板会签</x:v>
      </x:c>
      <x:c r="M34" s="22" t="str">
        <x:v>《标准动作模块》</x:v>
      </x:c>
      <x:c r="N34" s="22" t="str">
        <x:v>未经批准模板不自动配置为正式动作</x:v>
      </x:c>
      <x:c r="O34" s="22" t="str">
        <x:v>未开始</x:v>
      </x:c>
      <x:c r="P34" s="22" t="str">
        <x:v>建议拆解；需会签</x:v>
      </x:c>
    </x:row>
    <x:row r="35" ht="52" customHeight="1">
      <x:c r="A35" s="22" t="str">
        <x:v>S4-07</x:v>
      </x:c>
      <x:c r="B35" s="22" t="str">
        <x:v>S4</x:v>
      </x:c>
      <x:c r="C35" s="22" t="str">
        <x:v>Excel预览、冲突与入库</x:v>
      </x:c>
      <x:c r="D35" s="22" t="str">
        <x:v>项目/节点导入预览、错误行处理、事务/幂等</x:v>
      </x:c>
      <x:c r="E35" s="24" t="n">
        <x:v>46490</x:v>
      </x:c>
      <x:c r="F35" s="24" t="n">
        <x:v>46500</x:v>
      </x:c>
      <x:c r="G35" s="22" t="n">
        <x:f>F35-E35+1</x:f>
        <x:v>11</x:v>
      </x:c>
      <x:c r="H35" s="22" t="str">
        <x:v>P0</x:v>
      </x:c>
      <x:c r="I35" s="22" t="str">
        <x:v>S4-03;S4-04</x:v>
      </x:c>
      <x:c r="J35" s="22" t="str">
        <x:v>后端/前端</x:v>
      </x:c>
      <x:c r="K35" s="22" t="str">
        <x:v>Excel导入</x:v>
      </x:c>
      <x:c r="L35" s="22" t="str">
        <x:v>部分成功策略</x:v>
      </x:c>
      <x:c r="M35" s="22" t="str">
        <x:v>《Excel导入模块》</x:v>
      </x:c>
      <x:c r="N35" s="22" t="str">
        <x:v>重复编号不覆盖；预览不写业务表；TC13-14通过</x:v>
      </x:c>
      <x:c r="O35" s="22" t="str">
        <x:v>未开始</x:v>
      </x:c>
      <x:c r="P35" s="22" t="str">
        <x:v>建议拆解；需会签</x:v>
      </x:c>
    </x:row>
    <x:row r="36" ht="52" customHeight="1">
      <x:c r="A36" s="22" t="str">
        <x:v>S4-08</x:v>
      </x:c>
      <x:c r="B36" s="22" t="str">
        <x:v>S4</x:v>
      </x:c>
      <x:c r="C36" s="22" t="str">
        <x:v>一期前端页面对接</x:v>
      </x:c>
      <x:c r="D36" s="22" t="str">
        <x:v>按Figma适配项目、节点、标准动作和详情抽屉</x:v>
      </x:c>
      <x:c r="E36" s="24" t="n">
        <x:v>46491</x:v>
      </x:c>
      <x:c r="F36" s="24" t="n">
        <x:v>46500</x:v>
      </x:c>
      <x:c r="G36" s="22" t="n">
        <x:f>F36-E36+1</x:f>
        <x:v>10</x:v>
      </x:c>
      <x:c r="H36" s="22" t="str">
        <x:v>P0</x:v>
      </x:c>
      <x:c r="I36" s="22" t="str">
        <x:v>S4-03;S4-05;S4-06</x:v>
      </x:c>
      <x:c r="J36" s="22" t="str">
        <x:v>前端</x:v>
      </x:c>
      <x:c r="K36" s="22" t="str">
        <x:v>项目/节点/动作</x:v>
      </x:c>
      <x:c r="L36" s="22" t="str">
        <x:v>UI规范</x:v>
      </x:c>
      <x:c r="M36" s="22" t="str">
        <x:v>《前端核心页面》</x:v>
      </x:c>
      <x:c r="N36" s="22" t="str">
        <x:v>主要CRUD、加载/空态/权限/异常提示可用</x:v>
      </x:c>
      <x:c r="O36" s="22" t="str">
        <x:v>未开始</x:v>
      </x:c>
      <x:c r="P36" s="22" t="str">
        <x:v>建议拆解；需会签</x:v>
      </x:c>
    </x:row>
    <x:row r="37" ht="52" customHeight="1">
      <x:c r="A37" s="22" t="str">
        <x:v>S4-09</x:v>
      </x:c>
      <x:c r="B37" s="22" t="str">
        <x:v>S4</x:v>
      </x:c>
      <x:c r="C37" s="22" t="str">
        <x:v>第一阶段集成验收</x:v>
      </x:c>
      <x:c r="D37" s="22" t="str">
        <x:v>对项目、计划版本、节点、模板、导入做冒烟及回归</x:v>
      </x:c>
      <x:c r="E37" s="24" t="n">
        <x:v>46498</x:v>
      </x:c>
      <x:c r="F37" s="24" t="n">
        <x:v>46500</x:v>
      </x:c>
      <x:c r="G37" s="22" t="n">
        <x:f>F37-E37+1</x:f>
        <x:v>3</x:v>
      </x:c>
      <x:c r="H37" s="22" t="str">
        <x:v>P0</x:v>
      </x:c>
      <x:c r="I37" s="22" t="str">
        <x:v>S4-05;S4-06;S4-07;S4-08</x:v>
      </x:c>
      <x:c r="J37" s="22" t="str">
        <x:v>测试/业务代表</x:v>
      </x:c>
      <x:c r="K37" s="22" t="str">
        <x:v>核心模块</x:v>
      </x:c>
      <x:c r="L37" s="22" t="str">
        <x:v>试点模拟数据</x:v>
      </x:c>
      <x:c r="M37" s="22" t="str">
        <x:v>《节点动作阶段测试记录》</x:v>
      </x:c>
      <x:c r="N37" s="22" t="str">
        <x:v>关键业务链路无阻断缺陷</x:v>
      </x:c>
      <x:c r="O37" s="22" t="str">
        <x:v>未开始</x:v>
      </x:c>
      <x:c r="P37" s="22" t="str">
        <x:v>建议拆解；需会签</x:v>
      </x:c>
    </x:row>
    <x:row r="38" ht="52" customHeight="1">
      <x:c r="A38" s="22" t="str">
        <x:v>S5-01</x:v>
      </x:c>
      <x:c r="B38" s="22" t="str">
        <x:v>S5</x:v>
      </x:c>
      <x:c r="C38" s="22" t="str">
        <x:v>提醒规则和工作日历</x:v>
      </x:c>
      <x:c r="D38" s="22" t="str">
        <x:v>自然日/工作日规则配置、预览计算、审批状态</x:v>
      </x:c>
      <x:c r="E38" s="24" t="n">
        <x:v>46503</x:v>
      </x:c>
      <x:c r="F38" s="24" t="n">
        <x:v>46511</x:v>
      </x:c>
      <x:c r="G38" s="22" t="n">
        <x:f>F38-E38+1</x:f>
        <x:v>9</x:v>
      </x:c>
      <x:c r="H38" s="22" t="str">
        <x:v>P0</x:v>
      </x:c>
      <x:c r="I38" s="22" t="str">
        <x:v>S4-09</x:v>
      </x:c>
      <x:c r="J38" s="22" t="str">
        <x:v>后端/业务规则</x:v>
      </x:c>
      <x:c r="K38" s="22" t="str">
        <x:v>规则配置</x:v>
      </x:c>
      <x:c r="L38" s="22" t="str">
        <x:v>日历和提醒口径批准</x:v>
      </x:c>
      <x:c r="M38" s="22" t="str">
        <x:v>《提醒规则模块》</x:v>
      </x:c>
      <x:c r="N38" s="22" t="str">
        <x:v>无确认日历返回待配置；TC7-8、17符合</x:v>
      </x:c>
      <x:c r="O38" s="22" t="str">
        <x:v>未开始</x:v>
      </x:c>
      <x:c r="P38" s="22" t="str">
        <x:v>建议拆解；需会签</x:v>
      </x:c>
    </x:row>
    <x:row r="39" ht="52" customHeight="1">
      <x:c r="A39" s="22" t="str">
        <x:v>S5-02</x:v>
      </x:c>
      <x:c r="B39" s="22" t="str">
        <x:v>S5</x:v>
      </x:c>
      <x:c r="C39" s="22" t="str">
        <x:v>提醒扫描幂等与版本失效</x:v>
      </x:c>
      <x:c r="D39" s="22" t="str">
        <x:v>定时扫描、唯一业务键、计划取消/改版旧草稿失效</x:v>
      </x:c>
      <x:c r="E39" s="24" t="n">
        <x:v>46506</x:v>
      </x:c>
      <x:c r="F39" s="24" t="n">
        <x:v>46514</x:v>
      </x:c>
      <x:c r="G39" s="22" t="n">
        <x:f>F39-E39+1</x:f>
        <x:v>9</x:v>
      </x:c>
      <x:c r="H39" s="22" t="str">
        <x:v>P0</x:v>
      </x:c>
      <x:c r="I39" s="22" t="str">
        <x:v>S5-01;S4-04</x:v>
      </x:c>
      <x:c r="J39" s="22" t="str">
        <x:v>后端</x:v>
      </x:c>
      <x:c r="K39" s="22" t="str">
        <x:v>提醒生成</x:v>
      </x:c>
      <x:c r="L39" s="22" t="str">
        <x:v>提醒轮次与重试策略</x:v>
      </x:c>
      <x:c r="M39" s="22" t="str">
        <x:v>《提醒服务》</x:v>
      </x:c>
      <x:c r="N39" s="22" t="str">
        <x:v>重复扫描不重发；TC9、15、16通过</x:v>
      </x:c>
      <x:c r="O39" s="22" t="str">
        <x:v>未开始</x:v>
      </x:c>
      <x:c r="P39" s="22" t="str">
        <x:v>建议拆解；需会签</x:v>
      </x:c>
    </x:row>
    <x:row r="40" ht="52" customHeight="1">
      <x:c r="A40" s="22" t="str">
        <x:v>S5-03</x:v>
      </x:c>
      <x:c r="B40" s="22" t="str">
        <x:v>S5</x:v>
      </x:c>
      <x:c r="C40" s="22" t="str">
        <x:v>通知草稿与人工审核</x:v>
      </x:c>
      <x:c r="D40" s="22" t="str">
        <x:v>创建通知草稿、退回修改、锁定版本、审核通过待发送</x:v>
      </x:c>
      <x:c r="E40" s="24" t="n">
        <x:v>46507</x:v>
      </x:c>
      <x:c r="F40" s="24" t="n">
        <x:v>46518</x:v>
      </x:c>
      <x:c r="G40" s="22" t="n">
        <x:f>F40-E40+1</x:f>
        <x:v>12</x:v>
      </x:c>
      <x:c r="H40" s="22" t="str">
        <x:v>P0</x:v>
      </x:c>
      <x:c r="I40" s="22" t="str">
        <x:v>S5-02</x:v>
      </x:c>
      <x:c r="J40" s="22" t="str">
        <x:v>前后端</x:v>
      </x:c>
      <x:c r="K40" s="22" t="str">
        <x:v>通知审核</x:v>
      </x:c>
      <x:c r="L40" s="22" t="str">
        <x:v>审核人权限确认</x:v>
      </x:c>
      <x:c r="M40" s="22" t="str">
        <x:v>《通知审核模块》</x:v>
      </x:c>
      <x:c r="N40" s="22" t="str">
        <x:v>审核通过不等于已发送；TC10通过</x:v>
      </x:c>
      <x:c r="O40" s="22" t="str">
        <x:v>未开始</x:v>
      </x:c>
      <x:c r="P40" s="22" t="str">
        <x:v>建议拆解；需会签</x:v>
      </x:c>
    </x:row>
    <x:row r="41" ht="52" customHeight="1">
      <x:c r="A41" s="22" t="str">
        <x:v>S5-04</x:v>
      </x:c>
      <x:c r="B41" s="22" t="str">
        <x:v>S5</x:v>
      </x:c>
      <x:c r="C41" s="22" t="str">
        <x:v>任务分派与执行反馈</x:v>
      </x:c>
      <x:c r="D41" s="22" t="str">
        <x:v>动作转任务、待办、反馈、附件引用、独立核实</x:v>
      </x:c>
      <x:c r="E41" s="24" t="n">
        <x:v>46508</x:v>
      </x:c>
      <x:c r="F41" s="24" t="n">
        <x:v>46519</x:v>
      </x:c>
      <x:c r="G41" s="22" t="n">
        <x:f>F41-E41+1</x:f>
        <x:v>12</x:v>
      </x:c>
      <x:c r="H41" s="22" t="str">
        <x:v>P0</x:v>
      </x:c>
      <x:c r="I41" s="22" t="str">
        <x:v>S4-06;S5-02</x:v>
      </x:c>
      <x:c r="J41" s="22" t="str">
        <x:v>前后端</x:v>
      </x:c>
      <x:c r="K41" s="22" t="str">
        <x:v>任务反馈</x:v>
      </x:c>
      <x:c r="L41" s="22" t="str">
        <x:v>执行/核实角色</x:v>
      </x:c>
      <x:c r="M41" s="22" t="str">
        <x:v>《任务反馈模块》</x:v>
      </x:c>
      <x:c r="N41" s="22" t="str">
        <x:v>反馈不自动推定节点完成</x:v>
      </x:c>
      <x:c r="O41" s="22" t="str">
        <x:v>未开始</x:v>
      </x:c>
      <x:c r="P41" s="22" t="str">
        <x:v>建议拆解；需会签</x:v>
      </x:c>
    </x:row>
    <x:row r="42" ht="52" customHeight="1">
      <x:c r="A42" s="22" t="str">
        <x:v>S5-05</x:v>
      </x:c>
      <x:c r="B42" s="22" t="str">
        <x:v>S5</x:v>
      </x:c>
      <x:c r="C42" s="22" t="str">
        <x:v>权限审计与提醒回归</x:v>
      </x:c>
      <x:c r="D42" s="22" t="str">
        <x:v>核实部门级数据权限、审核留痕及幂等异常处理</x:v>
      </x:c>
      <x:c r="E42" s="24" t="n">
        <x:v>46514</x:v>
      </x:c>
      <x:c r="F42" s="24" t="n">
        <x:v>46521</x:v>
      </x:c>
      <x:c r="G42" s="22" t="n">
        <x:f>F42-E42+1</x:f>
        <x:v>8</x:v>
      </x:c>
      <x:c r="H42" s="22" t="str">
        <x:v>P0</x:v>
      </x:c>
      <x:c r="I42" s="22" t="str">
        <x:v>S5-03;S5-04</x:v>
      </x:c>
      <x:c r="J42" s="22" t="str">
        <x:v>安全/测试</x:v>
      </x:c>
      <x:c r="K42" s="22" t="str">
        <x:v>权限审计</x:v>
      </x:c>
      <x:c r="L42" s="22" t="str">
        <x:v>权限/审批基线</x:v>
      </x:c>
      <x:c r="M42" s="22" t="str">
        <x:v>《提醒与待办测试记录》</x:v>
      </x:c>
      <x:c r="N42" s="22" t="str">
        <x:v>越权403、历史不丢失、重试安全</x:v>
      </x:c>
      <x:c r="O42" s="22" t="str">
        <x:v>未开始</x:v>
      </x:c>
      <x:c r="P42" s="22" t="str">
        <x:v>建议拆解；需会签</x:v>
      </x:c>
    </x:row>
    <x:row r="43" ht="52" customHeight="1">
      <x:c r="A43" s="22" t="str">
        <x:v>S5-06</x:v>
      </x:c>
      <x:c r="B43" s="22" t="str">
        <x:v>S5</x:v>
      </x:c>
      <x:c r="C43" s="22" t="str">
        <x:v>站内通知模拟验证</x:v>
      </x:c>
      <x:c r="D43" s="22" t="str">
        <x:v>未获渠道授权时只做站内草稿，投递接口保持禁用</x:v>
      </x:c>
      <x:c r="E43" s="24" t="n">
        <x:v>46515</x:v>
      </x:c>
      <x:c r="F43" s="24" t="n">
        <x:v>46521</x:v>
      </x:c>
      <x:c r="G43" s="22" t="n">
        <x:f>F43-E43+1</x:f>
        <x:v>7</x:v>
      </x:c>
      <x:c r="H43" s="22" t="str">
        <x:v>P1</x:v>
      </x:c>
      <x:c r="I43" s="22" t="str">
        <x:v>S5-03</x:v>
      </x:c>
      <x:c r="J43" s="22" t="str">
        <x:v>前端/后端</x:v>
      </x:c>
      <x:c r="K43" s="22" t="str">
        <x:v>通知审核</x:v>
      </x:c>
      <x:c r="L43" s="22" t="str">
        <x:v>外部渠道未批准则禁用</x:v>
      </x:c>
      <x:c r="M43" s="22" t="str">
        <x:v>《通知渠道限制验证》</x:v>
      </x:c>
      <x:c r="N43" s="22" t="str">
        <x:v>未配置渠道时无法真实投递或误报已发送</x:v>
      </x:c>
      <x:c r="O43" s="22" t="str">
        <x:v>未开始</x:v>
      </x:c>
      <x:c r="P43" s="22" t="str">
        <x:v>建议拆解；需会签</x:v>
      </x:c>
    </x:row>
    <x:row r="44" ht="52" customHeight="1">
      <x:c r="A44" s="22" t="str">
        <x:v>S6-01</x:v>
      </x:c>
      <x:c r="B44" s="22" t="str">
        <x:v>S6</x:v>
      </x:c>
      <x:c r="C44" s="22" t="str">
        <x:v>财务计划/实际分离接口</x:v>
      </x:c>
      <x:c r="D44" s="22" t="str">
        <x:v>允许计划与核实实际分离展示，敏感字段需授权</x:v>
      </x:c>
      <x:c r="E44" s="24" t="n">
        <x:v>46524</x:v>
      </x:c>
      <x:c r="F44" s="24" t="n">
        <x:v>46531</x:v>
      </x:c>
      <x:c r="G44" s="22" t="n">
        <x:f>F44-E44+1</x:f>
        <x:v>8</x:v>
      </x:c>
      <x:c r="H44" s="22" t="str">
        <x:v>P0</x:v>
      </x:c>
      <x:c r="I44" s="22" t="str">
        <x:v>S4-09;S5-05</x:v>
      </x:c>
      <x:c r="J44" s="22" t="str">
        <x:v>后端/财务</x:v>
      </x:c>
      <x:c r="K44" s="22" t="str">
        <x:v>财务记录</x:v>
      </x:c>
      <x:c r="L44" s="22" t="str">
        <x:v>财务权限和数据来源</x:v>
      </x:c>
      <x:c r="M44" s="22" t="str">
        <x:v>《财务数据核实接口》</x:v>
      </x:c>
      <x:c r="N44" s="22" t="str">
        <x:v>TC11-12无计划推断到账/多币混算</x:v>
      </x:c>
      <x:c r="O44" s="22" t="str">
        <x:v>未开始</x:v>
      </x:c>
      <x:c r="P44" s="22" t="str">
        <x:v>建议拆解；需会签</x:v>
      </x:c>
    </x:row>
    <x:row r="45" ht="52" customHeight="1">
      <x:c r="A45" s="22" t="str">
        <x:v>S6-02</x:v>
      </x:c>
      <x:c r="B45" s="22" t="str">
        <x:v>S6</x:v>
      </x:c>
      <x:c r="C45" s="22" t="str">
        <x:v>指标引擎与快照</x:v>
      </x:c>
      <x:c r="D45" s="22" t="str">
        <x:v>按当前生效计划及截止日确定分子分母和可核实覆盖率</x:v>
      </x:c>
      <x:c r="E45" s="24" t="n">
        <x:v>46524</x:v>
      </x:c>
      <x:c r="F45" s="24" t="n">
        <x:v>46533</x:v>
      </x:c>
      <x:c r="G45" s="22" t="n">
        <x:f>F45-E45+1</x:f>
        <x:v>10</x:v>
      </x:c>
      <x:c r="H45" s="22" t="str">
        <x:v>P0</x:v>
      </x:c>
      <x:c r="I45" s="22" t="str">
        <x:v>S4-09;S5-04</x:v>
      </x:c>
      <x:c r="J45" s="22" t="str">
        <x:v>后端</x:v>
      </x:c>
      <x:c r="K45" s="22" t="str">
        <x:v>量化评估</x:v>
      </x:c>
      <x:c r="L45" s="22" t="str">
        <x:v>评价公式会签</x:v>
      </x:c>
      <x:c r="M45" s="22" t="str">
        <x:v>《指标计算模块》</x:v>
      </x:c>
      <x:c r="N45" s="22" t="str">
        <x:v>TC1-6，含零分母和未知状态正确</x:v>
      </x:c>
      <x:c r="O45" s="22" t="str">
        <x:v>未开始</x:v>
      </x:c>
      <x:c r="P45" s="22" t="str">
        <x:v>建议拆解；需会签</x:v>
      </x:c>
    </x:row>
    <x:row r="46" ht="52" customHeight="1">
      <x:c r="A46" s="22" t="str">
        <x:v>S6-03</x:v>
      </x:c>
      <x:c r="B46" s="22" t="str">
        <x:v>S6</x:v>
      </x:c>
      <x:c r="C46" s="22" t="str">
        <x:v>指标追溯与前端展示</x:v>
      </x:c>
      <x:c r="D46" s="22" t="str">
        <x:v>量化指标+证据明细+异常/待核对分开展示</x:v>
      </x:c>
      <x:c r="E46" s="24" t="n">
        <x:v>46528</x:v>
      </x:c>
      <x:c r="F46" s="24" t="n">
        <x:v>46535</x:v>
      </x:c>
      <x:c r="G46" s="22" t="n">
        <x:f>F46-E46+1</x:f>
        <x:v>8</x:v>
      </x:c>
      <x:c r="H46" s="22" t="str">
        <x:v>P0</x:v>
      </x:c>
      <x:c r="I46" s="22" t="str">
        <x:v>S6-02</x:v>
      </x:c>
      <x:c r="J46" s="22" t="str">
        <x:v>前后端</x:v>
      </x:c>
      <x:c r="K46" s="22" t="str">
        <x:v>量化评估</x:v>
      </x:c>
      <x:c r="L46" s="22" t="str">
        <x:v>指标字段已定稿</x:v>
      </x:c>
      <x:c r="M46" s="22" t="str">
        <x:v>《评价展示模块》</x:v>
      </x:c>
      <x:c r="N46" s="22" t="str">
        <x:v>每个百分比能点击追溯到版本和节点</x:v>
      </x:c>
      <x:c r="O46" s="22" t="str">
        <x:v>未开始</x:v>
      </x:c>
      <x:c r="P46" s="22" t="str">
        <x:v>建议拆解；需会签</x:v>
      </x:c>
    </x:row>
    <x:row r="47" ht="52" customHeight="1">
      <x:c r="A47" s="22" t="str">
        <x:v>S6-04</x:v>
      </x:c>
      <x:c r="B47" s="22" t="str">
        <x:v>S6</x:v>
      </x:c>
      <x:c r="C47" s="22" t="str">
        <x:v>AI事实包与报告草稿</x:v>
      </x:c>
      <x:c r="D47" s="22" t="str">
        <x:v>Fact Bundle只读、规则模板兜底、可选AI生成及人工审核</x:v>
      </x:c>
      <x:c r="E47" s="24" t="n">
        <x:v>46529</x:v>
      </x:c>
      <x:c r="F47" s="24" t="n">
        <x:v>46537</x:v>
      </x:c>
      <x:c r="G47" s="22" t="n">
        <x:f>F47-E47+1</x:f>
        <x:v>9</x:v>
      </x:c>
      <x:c r="H47" s="22" t="str">
        <x:v>P1</x:v>
      </x:c>
      <x:c r="I47" s="22" t="str">
        <x:v>S6-02;S6-01</x:v>
      </x:c>
      <x:c r="J47" s="22" t="str">
        <x:v>后端/AI工程</x:v>
      </x:c>
      <x:c r="K47" s="22" t="str">
        <x:v>AI与报告</x:v>
      </x:c>
      <x:c r="L47" s="22" t="str">
        <x:v>AI接入与出域审批</x:v>
      </x:c>
      <x:c r="M47" s="22" t="str">
        <x:v>《AI报告草稿模块》</x:v>
      </x:c>
      <x:c r="N47" s="22" t="str">
        <x:v>TC18不编造收付款，模型失败仍有安全提示</x:v>
      </x:c>
      <x:c r="O47" s="22" t="str">
        <x:v>未开始</x:v>
      </x:c>
      <x:c r="P47" s="22" t="str">
        <x:v>建议拆解；需会签</x:v>
      </x:c>
    </x:row>
    <x:row r="48" ht="52" customHeight="1">
      <x:c r="A48" s="22" t="str">
        <x:v>S6-05</x:v>
      </x:c>
      <x:c r="B48" s="22" t="str">
        <x:v>S6</x:v>
      </x:c>
      <x:c r="C48" s="22" t="str">
        <x:v>阶段报表导出与审计</x:v>
      </x:c>
      <x:c r="D48" s="22" t="str">
        <x:v>HTML/PDF导出草稿/审核态报告，保存来源与版本</x:v>
      </x:c>
      <x:c r="E48" s="24" t="n">
        <x:v>46533</x:v>
      </x:c>
      <x:c r="F48" s="24" t="n">
        <x:v>46538</x:v>
      </x:c>
      <x:c r="G48" s="22" t="n">
        <x:f>F48-E48+1</x:f>
        <x:v>6</x:v>
      </x:c>
      <x:c r="H48" s="22" t="str">
        <x:v>P1</x:v>
      </x:c>
      <x:c r="I48" s="22" t="str">
        <x:v>S6-04</x:v>
      </x:c>
      <x:c r="J48" s="22" t="str">
        <x:v>前后端</x:v>
      </x:c>
      <x:c r="K48" s="22" t="str">
        <x:v>AI与报告</x:v>
      </x:c>
      <x:c r="L48" s="22" t="str">
        <x:v>格式与审核流程确认</x:v>
      </x:c>
      <x:c r="M48" s="22" t="str">
        <x:v>《报表导出与留痕》</x:v>
      </x:c>
      <x:c r="N48" s="22" t="str">
        <x:v>草稿标未审核，已审核可追溯</x:v>
      </x:c>
      <x:c r="O48" s="22" t="str">
        <x:v>未开始</x:v>
      </x:c>
      <x:c r="P48" s="22" t="str">
        <x:v>建议拆解；需会签</x:v>
      </x:c>
    </x:row>
    <x:row r="49" ht="52" customHeight="1">
      <x:c r="A49" s="22" t="str">
        <x:v>S6-06</x:v>
      </x:c>
      <x:c r="B49" s="22" t="str">
        <x:v>S6</x:v>
      </x:c>
      <x:c r="C49" s="22" t="str">
        <x:v>量化与报告集成测试</x:v>
      </x:c>
      <x:c r="D49" s="22" t="str">
        <x:v>对67节点、18用例汇总回归，检查跨模块一致性</x:v>
      </x:c>
      <x:c r="E49" s="24" t="n">
        <x:v>46536</x:v>
      </x:c>
      <x:c r="F49" s="24" t="n">
        <x:v>46538</x:v>
      </x:c>
      <x:c r="G49" s="22" t="n">
        <x:f>F49-E49+1</x:f>
        <x:v>3</x:v>
      </x:c>
      <x:c r="H49" s="22" t="str">
        <x:v>P0</x:v>
      </x:c>
      <x:c r="I49" s="22" t="str">
        <x:v>S6-01;S6-02;S6-03;S6-04</x:v>
      </x:c>
      <x:c r="J49" s="22" t="str">
        <x:v>测试/业务代表</x:v>
      </x:c>
      <x:c r="K49" s="22" t="str">
        <x:v>跨模块</x:v>
      </x:c>
      <x:c r="L49" s="22" t="str">
        <x:v>口径及数据样例</x:v>
      </x:c>
      <x:c r="M49" s="22" t="str">
        <x:v>《量化分析阶段测试记录》</x:v>
      </x:c>
      <x:c r="N49" s="22" t="str">
        <x:v>指标可复算，报告事实与快照一致</x:v>
      </x:c>
      <x:c r="O49" s="22" t="str">
        <x:v>未开始</x:v>
      </x:c>
      <x:c r="P49" s="22" t="str">
        <x:v>建议拆解；需会签</x:v>
      </x:c>
    </x:row>
    <x:row r="50" ht="52" customHeight="1">
      <x:c r="A50" s="22" t="str">
        <x:v>S7-01</x:v>
      </x:c>
      <x:c r="B50" s="22" t="str">
        <x:v>S7</x:v>
      </x:c>
      <x:c r="C50" s="22" t="str">
        <x:v>部署小范围试用环境</x:v>
      </x:c>
      <x:c r="D50" s="22" t="str">
        <x:v>按企业批准环境配置密钥、权限与版本发布</x:v>
      </x:c>
      <x:c r="E50" s="24" t="n">
        <x:v>46539</x:v>
      </x:c>
      <x:c r="F50" s="24" t="n">
        <x:v>46546</x:v>
      </x:c>
      <x:c r="G50" s="22" t="n">
        <x:f>F50-E50+1</x:f>
        <x:v>8</x:v>
      </x:c>
      <x:c r="H50" s="22" t="str">
        <x:v>P0</x:v>
      </x:c>
      <x:c r="I50" s="22" t="str">
        <x:v>S6-06</x:v>
      </x:c>
      <x:c r="J50" s="22" t="str">
        <x:v>运维/后端</x:v>
      </x:c>
      <x:c r="K50" s="22" t="str">
        <x:v>环境与安全</x:v>
      </x:c>
      <x:c r="L50" s="22" t="str">
        <x:v>IT环境批准</x:v>
      </x:c>
      <x:c r="M50" s="22" t="str">
        <x:v>《部署与回滚说明》</x:v>
      </x:c>
      <x:c r="N50" s="22" t="str">
        <x:v>部署能启动、无未授权对外访问</x:v>
      </x:c>
      <x:c r="O50" s="22" t="str">
        <x:v>未开始</x:v>
      </x:c>
      <x:c r="P50" s="22" t="str">
        <x:v>建议拆解；需会签</x:v>
      </x:c>
    </x:row>
    <x:row r="51" ht="52" customHeight="1">
      <x:c r="A51" s="22" t="str">
        <x:v>S7-02</x:v>
      </x:c>
      <x:c r="B51" s="22" t="str">
        <x:v>S7</x:v>
      </x:c>
      <x:c r="C51" s="22" t="str">
        <x:v>18用例自动化验证</x:v>
      </x:c>
      <x:c r="D51" s="22" t="str">
        <x:v>逐项执行TC-001～TC-018并留证，失败生成缺陷单</x:v>
      </x:c>
      <x:c r="E51" s="24" t="n">
        <x:v>46540</x:v>
      </x:c>
      <x:c r="F51" s="24" t="n">
        <x:v>46550</x:v>
      </x:c>
      <x:c r="G51" s="22" t="n">
        <x:f>F51-E51+1</x:f>
        <x:v>11</x:v>
      </x:c>
      <x:c r="H51" s="22" t="str">
        <x:v>P0</x:v>
      </x:c>
      <x:c r="I51" s="22" t="str">
        <x:v>S7-01</x:v>
      </x:c>
      <x:c r="J51" s="22" t="str">
        <x:v>测试</x:v>
      </x:c>
      <x:c r="K51" s="22" t="str">
        <x:v>全接口</x:v>
      </x:c>
      <x:c r="L51" s="22" t="str">
        <x:v>模拟数据可用</x:v>
      </x:c>
      <x:c r="M51" s="22" t="str">
        <x:v>《TC执行报告》</x:v>
      </x:c>
      <x:c r="N51" s="22" t="str">
        <x:v>18条均有执行结果与复现记录</x:v>
      </x:c>
      <x:c r="O51" s="22" t="str">
        <x:v>未开始</x:v>
      </x:c>
      <x:c r="P51" s="22" t="str">
        <x:v>建议拆解；需会签</x:v>
      </x:c>
    </x:row>
    <x:row r="52" ht="52" customHeight="1">
      <x:c r="A52" s="22" t="str">
        <x:v>S7-03</x:v>
      </x:c>
      <x:c r="B52" s="22" t="str">
        <x:v>S7</x:v>
      </x:c>
      <x:c r="C52" s="22" t="str">
        <x:v>业务人员试点走查</x:v>
      </x:c>
      <x:c r="D52" s="22" t="str">
        <x:v>按项目创建—节点—动作—提醒—审核—反馈—评价流程走查</x:v>
      </x:c>
      <x:c r="E52" s="24" t="n">
        <x:v>46546</x:v>
      </x:c>
      <x:c r="F52" s="24" t="n">
        <x:v>46557</x:v>
      </x:c>
      <x:c r="G52" s="22" t="n">
        <x:f>F52-E52+1</x:f>
        <x:v>12</x:v>
      </x:c>
      <x:c r="H52" s="22" t="str">
        <x:v>P0</x:v>
      </x:c>
      <x:c r="I52" s="22" t="str">
        <x:v>S7-01;S7-02</x:v>
      </x:c>
      <x:c r="J52" s="22" t="str">
        <x:v>业务代表/测试</x:v>
      </x:c>
      <x:c r="K52" s="22" t="str">
        <x:v>全链路</x:v>
      </x:c>
      <x:c r="L52" s="22" t="str">
        <x:v>试点真实资料授权</x:v>
      </x:c>
      <x:c r="M52" s="22" t="str">
        <x:v>《业务试用记录》</x:v>
      </x:c>
      <x:c r="N52" s="22" t="str">
        <x:v>试点使用人确认主要功能可执行</x:v>
      </x:c>
      <x:c r="O52" s="22" t="str">
        <x:v>未开始</x:v>
      </x:c>
      <x:c r="P52" s="22" t="str">
        <x:v>建议拆解；需会签</x:v>
      </x:c>
    </x:row>
    <x:row r="53" ht="52" customHeight="1">
      <x:c r="A53" s="22" t="str">
        <x:v>S7-04</x:v>
      </x:c>
      <x:c r="B53" s="22" t="str">
        <x:v>S7</x:v>
      </x:c>
      <x:c r="C53" s="22" t="str">
        <x:v>安全、审计和性能验证</x:v>
      </x:c>
      <x:c r="D53" s="22" t="str">
        <x:v>检查越权、导入恶意内容、重复提醒、异常和日志脱敏</x:v>
      </x:c>
      <x:c r="E53" s="24" t="n">
        <x:v>46546</x:v>
      </x:c>
      <x:c r="F53" s="24" t="n">
        <x:v>46561</x:v>
      </x:c>
      <x:c r="G53" s="22" t="n">
        <x:f>F53-E53+1</x:f>
        <x:v>16</x:v>
      </x:c>
      <x:c r="H53" s="22" t="str">
        <x:v>P0</x:v>
      </x:c>
      <x:c r="I53" s="22" t="str">
        <x:v>S7-01</x:v>
      </x:c>
      <x:c r="J53" s="22" t="str">
        <x:v>信息安全/测试</x:v>
      </x:c>
      <x:c r="K53" s="22" t="str">
        <x:v>全接口</x:v>
      </x:c>
      <x:c r="L53" s="22" t="str">
        <x:v>性能目标由IT确认</x:v>
      </x:c>
      <x:c r="M53" s="22" t="str">
        <x:v>《安全/稳定性报告》</x:v>
      </x:c>
      <x:c r="N53" s="22" t="str">
        <x:v>安全阻断问题关闭，容量结论有数据</x:v>
      </x:c>
      <x:c r="O53" s="22" t="str">
        <x:v>未开始</x:v>
      </x:c>
      <x:c r="P53" s="22" t="str">
        <x:v>建议拆解；需会签</x:v>
      </x:c>
    </x:row>
    <x:row r="54" ht="52" customHeight="1">
      <x:c r="A54" s="22" t="str">
        <x:v>S7-05</x:v>
      </x:c>
      <x:c r="B54" s="22" t="str">
        <x:v>S7</x:v>
      </x:c>
      <x:c r="C54" s="22" t="str">
        <x:v>缺陷整改与回归测试</x:v>
      </x:c>
      <x:c r="D54" s="22" t="str">
        <x:v>按优先级修正缺陷，保留版本、影响范围和回归证据</x:v>
      </x:c>
      <x:c r="E54" s="24" t="n">
        <x:v>46554</x:v>
      </x:c>
      <x:c r="F54" s="24" t="n">
        <x:v>46565</x:v>
      </x:c>
      <x:c r="G54" s="22" t="n">
        <x:f>F54-E54+1</x:f>
        <x:v>12</x:v>
      </x:c>
      <x:c r="H54" s="22" t="str">
        <x:v>P0</x:v>
      </x:c>
      <x:c r="I54" s="22" t="str">
        <x:v>S7-02;S7-03;S7-04</x:v>
      </x:c>
      <x:c r="J54" s="22" t="str">
        <x:v>前后端/测试</x:v>
      </x:c>
      <x:c r="K54" s="22" t="str">
        <x:v>全模块</x:v>
      </x:c>
      <x:c r="L54" s="22" t="str">
        <x:v>测试记录</x:v>
      </x:c>
      <x:c r="M54" s="22" t="str">
        <x:v>《缺陷整改记录》</x:v>
      </x:c>
      <x:c r="N54" s="22" t="str">
        <x:v>阻断缺陷清零，重测可复现</x:v>
      </x:c>
      <x:c r="O54" s="22" t="str">
        <x:v>未开始</x:v>
      </x:c>
      <x:c r="P54" s="22" t="str">
        <x:v>建议拆解；需会签</x:v>
      </x:c>
    </x:row>
    <x:row r="55" ht="52" customHeight="1">
      <x:c r="A55" s="22" t="str">
        <x:v>S7-06</x:v>
      </x:c>
      <x:c r="B55" s="22" t="str">
        <x:v>S7</x:v>
      </x:c>
      <x:c r="C55" s="22" t="str">
        <x:v>试用验收与交付</x:v>
      </x:c>
      <x:c r="D55" s="22" t="str">
        <x:v>整理确认口径、系统使用说明、版本与阶段验收意见</x:v>
      </x:c>
      <x:c r="E55" s="24" t="n">
        <x:v>46562</x:v>
      </x:c>
      <x:c r="F55" s="24" t="n">
        <x:v>46568</x:v>
      </x:c>
      <x:c r="G55" s="22" t="n">
        <x:f>F55-E55+1</x:f>
        <x:v>7</x:v>
      </x:c>
      <x:c r="H55" s="22" t="str">
        <x:v>P0</x:v>
      </x:c>
      <x:c r="I55" s="22" t="str">
        <x:v>S7-03;S7-05</x:v>
      </x:c>
      <x:c r="J55" s="22" t="str">
        <x:v>项目负责人/业务负责人</x:v>
      </x:c>
      <x:c r="K55" s="22" t="str">
        <x:v>—</x:v>
      </x:c>
      <x:c r="L55" s="22" t="str">
        <x:v>试点验收</x:v>
      </x:c>
      <x:c r="M55" s="22" t="str">
        <x:v>《第一期试用验收包》</x:v>
      </x:c>
      <x:c r="N55" s="22" t="str">
        <x:v>有业务签核及后续问题清单</x:v>
      </x:c>
      <x:c r="O55" s="22" t="str">
        <x:v>未开始</x:v>
      </x:c>
      <x:c r="P55" s="22" t="str">
        <x:v>建议拆解；需会签</x:v>
      </x:c>
    </x:row>
  </x:sheetData>
  <x:mergeCells>
    <x:mergeCell ref="A1:P2"/>
    <x:mergeCell ref="A3:P3"/>
  </x:mergeCells>
  <x:dataValidations count="1">
    <x:dataValidation type="list" sqref="O6:O55">
      <x:formula1>"未开始,进行中,已完成,阻塞,已取消"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e1aee1ce1e420a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1" hidden="0" customWidth="1"/>
    <x:col min="4" max="4" width="51" hidden="0" customWidth="1"/>
    <x:col min="5" max="5" width="30" hidden="0" customWidth="1"/>
    <x:col min="6" max="6" width="13" hidden="0" customWidth="1"/>
    <x:col min="7" max="7" width="15" hidden="0" customWidth="1"/>
    <x:col min="8" max="8" width="16" hidden="0" customWidth="1"/>
    <x:col min="9" max="9" width="23" hidden="0" customWidth="1"/>
    <x:col min="10" max="10" width="41" hidden="0" customWidth="1"/>
    <x:col min="11" max="11" width="52" hidden="0" customWidth="1"/>
  </x:cols>
  <x:sheetData>
    <x:row r="1" ht="22" customHeight="1">
      <x:c r="A1" s="4" t="str">
        <x:v>61个候选API · 开发阶段与决策前置映射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28" customHeight="1">
      <x:c r="A3" s="10" t="str">
        <x:v>来源：V0.2 API清单；“归属阶段”是建议实现范围，通知外部投递默认关闭，不代表该接口已开发。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5" ht="31" customHeight="1">
      <x:c r="A5" s="16" t="str">
        <x:v>API编号</x:v>
      </x:c>
      <x:c r="B5" s="16" t="str">
        <x:v>业务模块</x:v>
      </x:c>
      <x:c r="C5" s="16" t="str">
        <x:v>方法</x:v>
      </x:c>
      <x:c r="D5" s="16" t="str">
        <x:v>完整资源路径</x:v>
      </x:c>
      <x:c r="E5" s="16" t="str">
        <x:v>接口用途</x:v>
      </x:c>
      <x:c r="F5" s="16" t="str">
        <x:v>开发阶段</x:v>
      </x:c>
      <x:c r="G5" s="16" t="str">
        <x:v>实施级别</x:v>
      </x:c>
      <x:c r="H5" s="16" t="str">
        <x:v>对应WBS</x:v>
      </x:c>
      <x:c r="I5" s="16" t="str">
        <x:v>前置决策</x:v>
      </x:c>
      <x:c r="J5" s="16" t="str">
        <x:v>启用条件</x:v>
      </x:c>
      <x:c r="K5" s="16" t="str">
        <x:v>关键校验</x:v>
      </x:c>
    </x:row>
    <x:row r="6" ht="45" customHeight="1">
      <x:c r="A6" s="22" t="str">
        <x:v>API-001</x:v>
      </x:c>
      <x:c r="B6" s="22" t="str">
        <x:v>项目管理</x:v>
      </x:c>
      <x:c r="C6" s="22" t="str">
        <x:v>GET</x:v>
      </x:c>
      <x:c r="D6" s="22" t="str">
        <x:v>/api/v1/projects</x:v>
      </x:c>
      <x:c r="E6" s="22" t="str">
        <x:v>项目分页与状态/名称筛选</x:v>
      </x:c>
      <x:c r="F6" s="22" t="str">
        <x:v>S4</x:v>
      </x:c>
      <x:c r="G6" s="22" t="str">
        <x:v>P0</x:v>
      </x:c>
      <x:c r="H6" s="22" t="str">
        <x:v>S4-03</x:v>
      </x:c>
      <x:c r="I6" s="22" t="str">
        <x:v>D-01;D-02;D-12</x:v>
      </x:c>
      <x:c r="J6" s="22" t="str">
        <x:v>待需求与技术方案会签</x:v>
      </x:c>
      <x:c r="K6" s="22" t="str">
        <x:v>授权项目范围；不得越权枚举</x:v>
      </x:c>
    </x:row>
    <x:row r="7" ht="45" customHeight="1">
      <x:c r="A7" s="22" t="str">
        <x:v>API-002</x:v>
      </x:c>
      <x:c r="B7" s="22" t="str">
        <x:v>项目管理</x:v>
      </x:c>
      <x:c r="C7" s="22" t="str">
        <x:v>POST</x:v>
      </x:c>
      <x:c r="D7" s="22" t="str">
        <x:v>/api/v1/projects</x:v>
      </x:c>
      <x:c r="E7" s="22" t="str">
        <x:v>新增项目</x:v>
      </x:c>
      <x:c r="F7" s="22" t="str">
        <x:v>S4</x:v>
      </x:c>
      <x:c r="G7" s="22" t="str">
        <x:v>P0</x:v>
      </x:c>
      <x:c r="H7" s="22" t="str">
        <x:v>S4-03</x:v>
      </x:c>
      <x:c r="I7" s="22" t="str">
        <x:v>D-01;D-02;D-12</x:v>
      </x:c>
      <x:c r="J7" s="22" t="str">
        <x:v>待需求与技术方案会签</x:v>
      </x:c>
      <x:c r="K7" s="22" t="str">
        <x:v>编号唯一；409 冲突</x:v>
      </x:c>
    </x:row>
    <x:row r="8" ht="45" customHeight="1">
      <x:c r="A8" s="22" t="str">
        <x:v>API-003</x:v>
      </x:c>
      <x:c r="B8" s="22" t="str">
        <x:v>项目管理</x:v>
      </x:c>
      <x:c r="C8" s="22" t="str">
        <x:v>GET</x:v>
      </x:c>
      <x:c r="D8" s="22" t="str">
        <x:v>/api/v1/projects/{project_id}</x:v>
      </x:c>
      <x:c r="E8" s="22" t="str">
        <x:v>项目基础及关联统计</x:v>
      </x:c>
      <x:c r="F8" s="22" t="str">
        <x:v>S4</x:v>
      </x:c>
      <x:c r="G8" s="22" t="str">
        <x:v>P0</x:v>
      </x:c>
      <x:c r="H8" s="22" t="str">
        <x:v>S4-03</x:v>
      </x:c>
      <x:c r="I8" s="22" t="str">
        <x:v>D-01;D-02;D-12</x:v>
      </x:c>
      <x:c r="J8" s="22" t="str">
        <x:v>待需求与技术方案会签</x:v>
      </x:c>
      <x:c r="K8" s="22" t="str">
        <x:v>仅已授权项目</x:v>
      </x:c>
    </x:row>
    <x:row r="9" ht="45" customHeight="1">
      <x:c r="A9" s="22" t="str">
        <x:v>API-004</x:v>
      </x:c>
      <x:c r="B9" s="22" t="str">
        <x:v>项目管理</x:v>
      </x:c>
      <x:c r="C9" s="22" t="str">
        <x:v>PATCH</x:v>
      </x:c>
      <x:c r="D9" s="22" t="str">
        <x:v>/api/v1/projects/{project_id}</x:v>
      </x:c>
      <x:c r="E9" s="22" t="str">
        <x:v>编辑项目</x:v>
      </x:c>
      <x:c r="F9" s="22" t="str">
        <x:v>S4</x:v>
      </x:c>
      <x:c r="G9" s="22" t="str">
        <x:v>P0</x:v>
      </x:c>
      <x:c r="H9" s="22" t="str">
        <x:v>S4-03</x:v>
      </x:c>
      <x:c r="I9" s="22" t="str">
        <x:v>D-01;D-02;D-12</x:v>
      </x:c>
      <x:c r="J9" s="22" t="str">
        <x:v>待需求与技术方案会签</x:v>
      </x:c>
      <x:c r="K9" s="22" t="str">
        <x:v>禁止通过此接口改计划/合同义务</x:v>
      </x:c>
    </x:row>
    <x:row r="10" ht="45" customHeight="1">
      <x:c r="A10" s="22" t="str">
        <x:v>API-005</x:v>
      </x:c>
      <x:c r="B10" s="22" t="str">
        <x:v>项目管理</x:v>
      </x:c>
      <x:c r="C10" s="22" t="str">
        <x:v>GET</x:v>
      </x:c>
      <x:c r="D10" s="22" t="str">
        <x:v>/api/v1/projects/{project_id}/overview</x:v>
      </x:c>
      <x:c r="E10" s="22" t="str">
        <x:v>项目详情汇总</x:v>
      </x:c>
      <x:c r="F10" s="22" t="str">
        <x:v>S4</x:v>
      </x:c>
      <x:c r="G10" s="22" t="str">
        <x:v>P0</x:v>
      </x:c>
      <x:c r="H10" s="22" t="str">
        <x:v>S4-03</x:v>
      </x:c>
      <x:c r="I10" s="22" t="str">
        <x:v>D-01;D-02;D-12</x:v>
      </x:c>
      <x:c r="J10" s="22" t="str">
        <x:v>待需求与技术方案会签</x:v>
      </x:c>
      <x:c r="K10" s="22" t="str">
        <x:v>节点/待办/指标均带来源或计算截止日</x:v>
      </x:c>
    </x:row>
    <x:row r="11" ht="45" customHeight="1">
      <x:c r="A11" s="22" t="str">
        <x:v>API-006</x:v>
      </x:c>
      <x:c r="B11" s="22" t="str">
        <x:v>基础字典</x:v>
      </x:c>
      <x:c r="C11" s="22" t="str">
        <x:v>GET</x:v>
      </x:c>
      <x:c r="D11" s="22" t="str">
        <x:v>/api/v1/dictionaries/node-types</x:v>
      </x:c>
      <x:c r="E11" s="22" t="str">
        <x:v>节点类型字典</x:v>
      </x:c>
      <x:c r="F11" s="22" t="str">
        <x:v>S4</x:v>
      </x:c>
      <x:c r="G11" s="22" t="str">
        <x:v>P0</x:v>
      </x:c>
      <x:c r="H11" s="22" t="str">
        <x:v>S4-02</x:v>
      </x:c>
      <x:c r="I11" s="22" t="str">
        <x:v>D-11;D-12</x:v>
      </x:c>
      <x:c r="J11" s="22" t="str">
        <x:v>待需求与技术方案会签</x:v>
      </x:c>
      <x:c r="K11" s="22" t="str">
        <x:v>禁用类型历史仍可读</x:v>
      </x:c>
    </x:row>
    <x:row r="12" ht="45" customHeight="1">
      <x:c r="A12" s="22" t="str">
        <x:v>API-007</x:v>
      </x:c>
      <x:c r="B12" s="22" t="str">
        <x:v>基础字典</x:v>
      </x:c>
      <x:c r="C12" s="22" t="str">
        <x:v>GET</x:v>
      </x:c>
      <x:c r="D12" s="22" t="str">
        <x:v>/api/v1/departments</x:v>
      </x:c>
      <x:c r="E12" s="22" t="str">
        <x:v>可用部门</x:v>
      </x:c>
      <x:c r="F12" s="22" t="str">
        <x:v>S4</x:v>
      </x:c>
      <x:c r="G12" s="22" t="str">
        <x:v>P0</x:v>
      </x:c>
      <x:c r="H12" s="22" t="str">
        <x:v>S4-02</x:v>
      </x:c>
      <x:c r="I12" s="22" t="str">
        <x:v>D-11;D-12</x:v>
      </x:c>
      <x:c r="J12" s="22" t="str">
        <x:v>待需求与技术方案会签</x:v>
      </x:c>
      <x:c r="K12" s="22" t="str">
        <x:v>人员组织从试点授权目录读取</x:v>
      </x:c>
    </x:row>
    <x:row r="13" ht="45" customHeight="1">
      <x:c r="A13" s="22" t="str">
        <x:v>API-008</x:v>
      </x:c>
      <x:c r="B13" s="22" t="str">
        <x:v>基础字典</x:v>
      </x:c>
      <x:c r="C13" s="22" t="str">
        <x:v>GET</x:v>
      </x:c>
      <x:c r="D13" s="22" t="str">
        <x:v>/api/v1/users</x:v>
      </x:c>
      <x:c r="E13" s="22" t="str">
        <x:v>可选项目负责人/通知接收人</x:v>
      </x:c>
      <x:c r="F13" s="22" t="str">
        <x:v>S4</x:v>
      </x:c>
      <x:c r="G13" s="22" t="str">
        <x:v>P0</x:v>
      </x:c>
      <x:c r="H13" s="22" t="str">
        <x:v>S4-02</x:v>
      </x:c>
      <x:c r="I13" s="22" t="str">
        <x:v>D-11;D-12</x:v>
      </x:c>
      <x:c r="J13" s="22" t="str">
        <x:v>待需求与技术方案会签</x:v>
      </x:c>
      <x:c r="K13" s="22" t="str">
        <x:v>返回可授权对象，不泄露全部人员</x:v>
      </x:c>
    </x:row>
    <x:row r="14" ht="45" customHeight="1">
      <x:c r="A14" s="22" t="str">
        <x:v>API-009</x:v>
      </x:c>
      <x:c r="B14" s="22" t="str">
        <x:v>计划版本</x:v>
      </x:c>
      <x:c r="C14" s="22" t="str">
        <x:v>GET</x:v>
      </x:c>
      <x:c r="D14" s="22" t="str">
        <x:v>/api/v1/projects/{project_id}/plan-versions</x:v>
      </x:c>
      <x:c r="E14" s="22" t="str">
        <x:v>查询所有版本</x:v>
      </x:c>
      <x:c r="F14" s="22" t="str">
        <x:v>S4</x:v>
      </x:c>
      <x:c r="G14" s="22" t="str">
        <x:v>P0</x:v>
      </x:c>
      <x:c r="H14" s="22" t="str">
        <x:v>S4-04</x:v>
      </x:c>
      <x:c r="I14" s="22" t="str">
        <x:v>D-03;D-12</x:v>
      </x:c>
      <x:c r="J14" s="22" t="str">
        <x:v>待需求与技术方案会签</x:v>
      </x:c>
      <x:c r="K14" s="22" t="str">
        <x:v>计划审计不可删除</x:v>
      </x:c>
    </x:row>
    <x:row r="15" ht="45" customHeight="1">
      <x:c r="A15" s="22" t="str">
        <x:v>API-010</x:v>
      </x:c>
      <x:c r="B15" s="22" t="str">
        <x:v>计划版本</x:v>
      </x:c>
      <x:c r="C15" s="22" t="str">
        <x:v>POST</x:v>
      </x:c>
      <x:c r="D15" s="22" t="str">
        <x:v>/api/v1/projects/{project_id}/plan-versions</x:v>
      </x:c>
      <x:c r="E15" s="22" t="str">
        <x:v>提交新草稿版本</x:v>
      </x:c>
      <x:c r="F15" s="22" t="str">
        <x:v>S4</x:v>
      </x:c>
      <x:c r="G15" s="22" t="str">
        <x:v>P0</x:v>
      </x:c>
      <x:c r="H15" s="22" t="str">
        <x:v>S4-04</x:v>
      </x:c>
      <x:c r="I15" s="22" t="str">
        <x:v>D-03;D-12</x:v>
      </x:c>
      <x:c r="J15" s="22" t="str">
        <x:v>待需求与技术方案会签</x:v>
      </x:c>
      <x:c r="K15" s="22" t="str">
        <x:v>复制生效版本全量节点快照</x:v>
      </x:c>
    </x:row>
    <x:row r="16" ht="45" customHeight="1">
      <x:c r="A16" s="22" t="str">
        <x:v>API-011</x:v>
      </x:c>
      <x:c r="B16" s="22" t="str">
        <x:v>计划版本</x:v>
      </x:c>
      <x:c r="C16" s="22" t="str">
        <x:v>GET</x:v>
      </x:c>
      <x:c r="D16" s="22" t="str">
        <x:v>/api/v1/plan-versions/{version_id}/diff</x:v>
      </x:c>
      <x:c r="E16" s="22" t="str">
        <x:v>计划变更比对</x:v>
      </x:c>
      <x:c r="F16" s="22" t="str">
        <x:v>S4</x:v>
      </x:c>
      <x:c r="G16" s="22" t="str">
        <x:v>P0</x:v>
      </x:c>
      <x:c r="H16" s="22" t="str">
        <x:v>S4-04</x:v>
      </x:c>
      <x:c r="I16" s="22" t="str">
        <x:v>D-03;D-12</x:v>
      </x:c>
      <x:c r="J16" s="22" t="str">
        <x:v>待需求与技术方案会签</x:v>
      </x:c>
      <x:c r="K16" s="22" t="str">
        <x:v>标明日期、责任、来源变动</x:v>
      </x:c>
    </x:row>
    <x:row r="17" ht="45" customHeight="1">
      <x:c r="A17" s="22" t="str">
        <x:v>API-012</x:v>
      </x:c>
      <x:c r="B17" s="22" t="str">
        <x:v>计划版本</x:v>
      </x:c>
      <x:c r="C17" s="22" t="str">
        <x:v>POST</x:v>
      </x:c>
      <x:c r="D17" s="22" t="str">
        <x:v>/api/v1/plan-versions/{version_id}/submit-review</x:v>
      </x:c>
      <x:c r="E17" s="22" t="str">
        <x:v>提交计划审核</x:v>
      </x:c>
      <x:c r="F17" s="22" t="str">
        <x:v>S4</x:v>
      </x:c>
      <x:c r="G17" s="22" t="str">
        <x:v>P0</x:v>
      </x:c>
      <x:c r="H17" s="22" t="str">
        <x:v>S4-04</x:v>
      </x:c>
      <x:c r="I17" s="22" t="str">
        <x:v>D-03;D-12</x:v>
      </x:c>
      <x:c r="J17" s="22" t="str">
        <x:v>待需求与技术方案会签</x:v>
      </x:c>
      <x:c r="K17" s="22" t="str">
        <x:v>试点审核角色待确认</x:v>
      </x:c>
    </x:row>
    <x:row r="18" ht="45" customHeight="1">
      <x:c r="A18" s="22" t="str">
        <x:v>API-013</x:v>
      </x:c>
      <x:c r="B18" s="22" t="str">
        <x:v>计划版本</x:v>
      </x:c>
      <x:c r="C18" s="22" t="str">
        <x:v>POST</x:v>
      </x:c>
      <x:c r="D18" s="22" t="str">
        <x:v>/api/v1/plan-versions/{version_id}/activate</x:v>
      </x:c>
      <x:c r="E18" s="22" t="str">
        <x:v>确认计划生效</x:v>
      </x:c>
      <x:c r="F18" s="22" t="str">
        <x:v>S4</x:v>
      </x:c>
      <x:c r="G18" s="22" t="str">
        <x:v>P0</x:v>
      </x:c>
      <x:c r="H18" s="22" t="str">
        <x:v>S4-04</x:v>
      </x:c>
      <x:c r="I18" s="22" t="str">
        <x:v>D-03;D-12</x:v>
      </x:c>
      <x:c r="J18" s="22" t="str">
        <x:v>待需求与技术方案会签</x:v>
      </x:c>
      <x:c r="K18" s="22" t="str">
        <x:v>事务内更新当前版本并作废旧提醒草稿</x:v>
      </x:c>
    </x:row>
    <x:row r="19" ht="45" customHeight="1">
      <x:c r="A19" s="22" t="str">
        <x:v>API-014</x:v>
      </x:c>
      <x:c r="B19" s="22" t="str">
        <x:v>节点管理</x:v>
      </x:c>
      <x:c r="C19" s="22" t="str">
        <x:v>GET</x:v>
      </x:c>
      <x:c r="D19" s="22" t="str">
        <x:v>/api/v1/projects/{project_id}/milestones</x:v>
      </x:c>
      <x:c r="E19" s="22" t="str">
        <x:v>节点列表/时间轴</x:v>
      </x:c>
      <x:c r="F19" s="22" t="str">
        <x:v>S4</x:v>
      </x:c>
      <x:c r="G19" s="22" t="str">
        <x:v>P0</x:v>
      </x:c>
      <x:c r="H19" s="22" t="str">
        <x:v>S4-05</x:v>
      </x:c>
      <x:c r="I19" s="22" t="str">
        <x:v>D-03;D-04</x:v>
      </x:c>
      <x:c r="J19" s="22" t="str">
        <x:v>待需求与技术方案会签</x:v>
      </x:c>
      <x:c r="K19" s="22" t="str">
        <x:v>返回节点稳定ID、当前计划修订ID</x:v>
      </x:c>
    </x:row>
    <x:row r="20" ht="45" customHeight="1">
      <x:c r="A20" s="22" t="str">
        <x:v>API-015</x:v>
      </x:c>
      <x:c r="B20" s="22" t="str">
        <x:v>节点管理</x:v>
      </x:c>
      <x:c r="C20" s="22" t="str">
        <x:v>POST</x:v>
      </x:c>
      <x:c r="D20" s="22" t="str">
        <x:v>/api/v1/projects/{project_id}/milestones</x:v>
      </x:c>
      <x:c r="E20" s="22" t="str">
        <x:v>新增节点</x:v>
      </x:c>
      <x:c r="F20" s="22" t="str">
        <x:v>S4</x:v>
      </x:c>
      <x:c r="G20" s="22" t="str">
        <x:v>P0</x:v>
      </x:c>
      <x:c r="H20" s="22" t="str">
        <x:v>S4-05</x:v>
      </x:c>
      <x:c r="I20" s="22" t="str">
        <x:v>D-03;D-04</x:v>
      </x:c>
      <x:c r="J20" s="22" t="str">
        <x:v>待需求与技术方案会签</x:v>
      </x:c>
      <x:c r="K20" s="22" t="str">
        <x:v>只在草稿计划内新增或走变更流程</x:v>
      </x:c>
    </x:row>
    <x:row r="21" ht="45" customHeight="1">
      <x:c r="A21" s="22" t="str">
        <x:v>API-016</x:v>
      </x:c>
      <x:c r="B21" s="22" t="str">
        <x:v>节点管理</x:v>
      </x:c>
      <x:c r="C21" s="22" t="str">
        <x:v>GET</x:v>
      </x:c>
      <x:c r="D21" s="22" t="str">
        <x:v>/api/v1/milestones/{milestone_id}</x:v>
      </x:c>
      <x:c r="E21" s="22" t="str">
        <x:v>节点详情与事实记录</x:v>
      </x:c>
      <x:c r="F21" s="22" t="str">
        <x:v>S4</x:v>
      </x:c>
      <x:c r="G21" s="22" t="str">
        <x:v>P0</x:v>
      </x:c>
      <x:c r="H21" s="22" t="str">
        <x:v>S4-05</x:v>
      </x:c>
      <x:c r="I21" s="22" t="str">
        <x:v>D-03;D-04</x:v>
      </x:c>
      <x:c r="J21" s="22" t="str">
        <x:v>待需求与技术方案会签</x:v>
      </x:c>
      <x:c r="K21" s="22" t="str">
        <x:v>分开计划日期与合同日期</x:v>
      </x:c>
    </x:row>
    <x:row r="22" ht="45" customHeight="1">
      <x:c r="A22" s="22" t="str">
        <x:v>API-017</x:v>
      </x:c>
      <x:c r="B22" s="22" t="str">
        <x:v>节点管理</x:v>
      </x:c>
      <x:c r="C22" s="22" t="str">
        <x:v>PATCH</x:v>
      </x:c>
      <x:c r="D22" s="22" t="str">
        <x:v>/api/v1/milestones/{milestone_id}/plan-item</x:v>
      </x:c>
      <x:c r="E22" s="22" t="str">
        <x:v>修改草稿计划快照</x:v>
      </x:c>
      <x:c r="F22" s="22" t="str">
        <x:v>S4</x:v>
      </x:c>
      <x:c r="G22" s="22" t="str">
        <x:v>P0</x:v>
      </x:c>
      <x:c r="H22" s="22" t="str">
        <x:v>S4-05</x:v>
      </x:c>
      <x:c r="I22" s="22" t="str">
        <x:v>D-03;D-04</x:v>
      </x:c>
      <x:c r="J22" s="22" t="str">
        <x:v>待需求与技术方案会签</x:v>
      </x:c>
      <x:c r="K22" s="22" t="str">
        <x:v>有效版本不得直接覆盖</x:v>
      </x:c>
    </x:row>
    <x:row r="23" ht="45" customHeight="1">
      <x:c r="A23" s="22" t="str">
        <x:v>API-018</x:v>
      </x:c>
      <x:c r="B23" s="22" t="str">
        <x:v>节点管理</x:v>
      </x:c>
      <x:c r="C23" s="22" t="str">
        <x:v>POST</x:v>
      </x:c>
      <x:c r="D23" s="22" t="str">
        <x:v>/api/v1/milestones/{milestone_id}/actuals</x:v>
      </x:c>
      <x:c r="E23" s="22" t="str">
        <x:v>提交实际完成情况</x:v>
      </x:c>
      <x:c r="F23" s="22" t="str">
        <x:v>S4</x:v>
      </x:c>
      <x:c r="G23" s="22" t="str">
        <x:v>P0</x:v>
      </x:c>
      <x:c r="H23" s="22" t="str">
        <x:v>S4-05</x:v>
      </x:c>
      <x:c r="I23" s="22" t="str">
        <x:v>D-03;D-04</x:v>
      </x:c>
      <x:c r="J23" s="22" t="str">
        <x:v>待需求与技术方案会签</x:v>
      </x:c>
      <x:c r="K23" s="22" t="str">
        <x:v>提交不代表已核实</x:v>
      </x:c>
    </x:row>
    <x:row r="24" ht="45" customHeight="1">
      <x:c r="A24" s="22" t="str">
        <x:v>API-019</x:v>
      </x:c>
      <x:c r="B24" s="22" t="str">
        <x:v>节点管理</x:v>
      </x:c>
      <x:c r="C24" s="22" t="str">
        <x:v>POST</x:v>
      </x:c>
      <x:c r="D24" s="22" t="str">
        <x:v>/api/v1/milestone-actuals/{actual_id}/verify</x:v>
      </x:c>
      <x:c r="E24" s="22" t="str">
        <x:v>核实或退回实际记录</x:v>
      </x:c>
      <x:c r="F24" s="22" t="str">
        <x:v>S4</x:v>
      </x:c>
      <x:c r="G24" s="22" t="str">
        <x:v>P0</x:v>
      </x:c>
      <x:c r="H24" s="22" t="str">
        <x:v>S4-05</x:v>
      </x:c>
      <x:c r="I24" s="22" t="str">
        <x:v>D-03;D-04</x:v>
      </x:c>
      <x:c r="J24" s="22" t="str">
        <x:v>待需求与技术方案会签</x:v>
      </x:c>
      <x:c r="K24" s="22" t="str">
        <x:v>审核者权限独立；已有当前核实事实保留版本</x:v>
      </x:c>
    </x:row>
    <x:row r="25" ht="45" customHeight="1">
      <x:c r="A25" s="22" t="str">
        <x:v>API-020</x:v>
      </x:c>
      <x:c r="B25" s="22" t="str">
        <x:v>节点管理</x:v>
      </x:c>
      <x:c r="C25" s="22" t="str">
        <x:v>POST</x:v>
      </x:c>
      <x:c r="D25" s="22" t="str">
        <x:v>/api/v1/milestones/{milestone_id}/cancel</x:v>
      </x:c>
      <x:c r="E25" s="22" t="str">
        <x:v>提出/执行节点取消</x:v>
      </x:c>
      <x:c r="F25" s="22" t="str">
        <x:v>S4</x:v>
      </x:c>
      <x:c r="G25" s="22" t="str">
        <x:v>P0</x:v>
      </x:c>
      <x:c r="H25" s="22" t="str">
        <x:v>S4-05</x:v>
      </x:c>
      <x:c r="I25" s="22" t="str">
        <x:v>D-03;D-04</x:v>
      </x:c>
      <x:c r="J25" s="22" t="str">
        <x:v>待需求与技术方案会签</x:v>
      </x:c>
      <x:c r="K25" s="22" t="str">
        <x:v>取消影响提醒但不删除审计</x:v>
      </x:c>
    </x:row>
    <x:row r="26" ht="45" customHeight="1">
      <x:c r="A26" s="22" t="str">
        <x:v>API-021</x:v>
      </x:c>
      <x:c r="B26" s="22" t="str">
        <x:v>标准动作</x:v>
      </x:c>
      <x:c r="C26" s="22" t="str">
        <x:v>GET</x:v>
      </x:c>
      <x:c r="D26" s="22" t="str">
        <x:v>/api/v1/action-templates</x:v>
      </x:c>
      <x:c r="E26" s="22" t="str">
        <x:v>查看动作模板</x:v>
      </x:c>
      <x:c r="F26" s="22" t="str">
        <x:v>S4</x:v>
      </x:c>
      <x:c r="G26" s="22" t="str">
        <x:v>P0</x:v>
      </x:c>
      <x:c r="H26" s="22" t="str">
        <x:v>S4-06</x:v>
      </x:c>
      <x:c r="I26" s="22" t="str">
        <x:v>D-04;D-12</x:v>
      </x:c>
      <x:c r="J26" s="22" t="str">
        <x:v>待需求与技术方案会签</x:v>
      </x:c>
      <x:c r="K26" s="22" t="str">
        <x:v>仅批准模板用于自动派发</x:v>
      </x:c>
    </x:row>
    <x:row r="27" ht="45" customHeight="1">
      <x:c r="A27" s="22" t="str">
        <x:v>API-022</x:v>
      </x:c>
      <x:c r="B27" s="22" t="str">
        <x:v>标准动作</x:v>
      </x:c>
      <x:c r="C27" s="22" t="str">
        <x:v>POST</x:v>
      </x:c>
      <x:c r="D27" s="22" t="str">
        <x:v>/api/v1/action-templates</x:v>
      </x:c>
      <x:c r="E27" s="22" t="str">
        <x:v>创建模板草稿</x:v>
      </x:c>
      <x:c r="F27" s="22" t="str">
        <x:v>S4</x:v>
      </x:c>
      <x:c r="G27" s="22" t="str">
        <x:v>P0</x:v>
      </x:c>
      <x:c r="H27" s="22" t="str">
        <x:v>S4-06</x:v>
      </x:c>
      <x:c r="I27" s="22" t="str">
        <x:v>D-04;D-12</x:v>
      </x:c>
      <x:c r="J27" s="22" t="str">
        <x:v>待需求与技术方案会签</x:v>
      </x:c>
      <x:c r="K27" s="22" t="str">
        <x:v>同编码版本不得重复</x:v>
      </x:c>
    </x:row>
    <x:row r="28" ht="45" customHeight="1">
      <x:c r="A28" s="22" t="str">
        <x:v>API-023</x:v>
      </x:c>
      <x:c r="B28" s="22" t="str">
        <x:v>标准动作</x:v>
      </x:c>
      <x:c r="C28" s="22" t="str">
        <x:v>GET</x:v>
      </x:c>
      <x:c r="D28" s="22" t="str">
        <x:v>/api/v1/action-templates/{template_id}</x:v>
      </x:c>
      <x:c r="E28" s="22" t="str">
        <x:v>查看模板明细</x:v>
      </x:c>
      <x:c r="F28" s="22" t="str">
        <x:v>S4</x:v>
      </x:c>
      <x:c r="G28" s="22" t="str">
        <x:v>P0</x:v>
      </x:c>
      <x:c r="H28" s="22" t="str">
        <x:v>S4-06</x:v>
      </x:c>
      <x:c r="I28" s="22" t="str">
        <x:v>D-04;D-12</x:v>
      </x:c>
      <x:c r="J28" s="22" t="str">
        <x:v>待需求与技术方案会签</x:v>
      </x:c>
      <x:c r="K28" s="22" t="str">
        <x:v>保留审批记录与适用条件</x:v>
      </x:c>
    </x:row>
    <x:row r="29" ht="45" customHeight="1">
      <x:c r="A29" s="22" t="str">
        <x:v>API-024</x:v>
      </x:c>
      <x:c r="B29" s="22" t="str">
        <x:v>标准动作</x:v>
      </x:c>
      <x:c r="C29" s="22" t="str">
        <x:v>POST</x:v>
      </x:c>
      <x:c r="D29" s="22" t="str">
        <x:v>/api/v1/action-templates/{template_id}/review</x:v>
      </x:c>
      <x:c r="E29" s="22" t="str">
        <x:v>模板审批</x:v>
      </x:c>
      <x:c r="F29" s="22" t="str">
        <x:v>S4</x:v>
      </x:c>
      <x:c r="G29" s="22" t="str">
        <x:v>P0</x:v>
      </x:c>
      <x:c r="H29" s="22" t="str">
        <x:v>S4-06</x:v>
      </x:c>
      <x:c r="I29" s="22" t="str">
        <x:v>D-04;D-12</x:v>
      </x:c>
      <x:c r="J29" s="22" t="str">
        <x:v>待需求与技术方案会签</x:v>
      </x:c>
      <x:c r="K29" s="22" t="str">
        <x:v>业务批准人才能生效</x:v>
      </x:c>
    </x:row>
    <x:row r="30" ht="45" customHeight="1">
      <x:c r="A30" s="22" t="str">
        <x:v>API-025</x:v>
      </x:c>
      <x:c r="B30" s="22" t="str">
        <x:v>标准动作</x:v>
      </x:c>
      <x:c r="C30" s="22" t="str">
        <x:v>GET</x:v>
      </x:c>
      <x:c r="D30" s="22" t="str">
        <x:v>/api/v1/milestones/{milestone_id}/suggested-actions</x:v>
      </x:c>
      <x:c r="E30" s="22" t="str">
        <x:v>按类型试匹配动作</x:v>
      </x:c>
      <x:c r="F30" s="22" t="str">
        <x:v>S4</x:v>
      </x:c>
      <x:c r="G30" s="22" t="str">
        <x:v>P0</x:v>
      </x:c>
      <x:c r="H30" s="22" t="str">
        <x:v>S4-06</x:v>
      </x:c>
      <x:c r="I30" s="22" t="str">
        <x:v>D-04;D-12</x:v>
      </x:c>
      <x:c r="J30" s="22" t="str">
        <x:v>待需求与技术方案会签</x:v>
      </x:c>
      <x:c r="K30" s="22" t="str">
        <x:v>未配置返回待处理，不由模型猜测</x:v>
      </x:c>
    </x:row>
    <x:row r="31" ht="45" customHeight="1">
      <x:c r="A31" s="22" t="str">
        <x:v>API-026</x:v>
      </x:c>
      <x:c r="B31" s="22" t="str">
        <x:v>标准动作</x:v>
      </x:c>
      <x:c r="C31" s="22" t="str">
        <x:v>POST</x:v>
      </x:c>
      <x:c r="D31" s="22" t="str">
        <x:v>/api/v1/milestones/{milestone_id}/action-links</x:v>
      </x:c>
      <x:c r="E31" s="22" t="str">
        <x:v>关联/覆盖动作</x:v>
      </x:c>
      <x:c r="F31" s="22" t="str">
        <x:v>S4</x:v>
      </x:c>
      <x:c r="G31" s="22" t="str">
        <x:v>P0</x:v>
      </x:c>
      <x:c r="H31" s="22" t="str">
        <x:v>S4-06</x:v>
      </x:c>
      <x:c r="I31" s="22" t="str">
        <x:v>D-04;D-12</x:v>
      </x:c>
      <x:c r="J31" s="22" t="str">
        <x:v>待需求与技术方案会签</x:v>
      </x:c>
      <x:c r="K31" s="22" t="str">
        <x:v>需审批的覆盖留痕</x:v>
      </x:c>
    </x:row>
    <x:row r="32" ht="45" customHeight="1">
      <x:c r="A32" s="22" t="str">
        <x:v>API-027</x:v>
      </x:c>
      <x:c r="B32" s="22" t="str">
        <x:v>规则配置</x:v>
      </x:c>
      <x:c r="C32" s="22" t="str">
        <x:v>GET</x:v>
      </x:c>
      <x:c r="D32" s="22" t="str">
        <x:v>/api/v1/reminder-rules</x:v>
      </x:c>
      <x:c r="E32" s="22" t="str">
        <x:v>查看规则版本</x:v>
      </x:c>
      <x:c r="F32" s="22" t="str">
        <x:v>S5</x:v>
      </x:c>
      <x:c r="G32" s="22" t="str">
        <x:v>P0</x:v>
      </x:c>
      <x:c r="H32" s="22" t="str">
        <x:v>S5-01</x:v>
      </x:c>
      <x:c r="I32" s="22" t="str">
        <x:v>D-05;D-06</x:v>
      </x:c>
      <x:c r="J32" s="22" t="str">
        <x:v>待需求与技术方案会签</x:v>
      </x:c>
      <x:c r="K32" s="22" t="str">
        <x:v>返回日历口径与批准状态</x:v>
      </x:c>
    </x:row>
    <x:row r="33" ht="45" customHeight="1">
      <x:c r="A33" s="22" t="str">
        <x:v>API-028</x:v>
      </x:c>
      <x:c r="B33" s="22" t="str">
        <x:v>规则配置</x:v>
      </x:c>
      <x:c r="C33" s="22" t="str">
        <x:v>POST</x:v>
      </x:c>
      <x:c r="D33" s="22" t="str">
        <x:v>/api/v1/reminder-rules</x:v>
      </x:c>
      <x:c r="E33" s="22" t="str">
        <x:v>创建提醒规则草稿</x:v>
      </x:c>
      <x:c r="F33" s="22" t="str">
        <x:v>S5</x:v>
      </x:c>
      <x:c r="G33" s="22" t="str">
        <x:v>P0</x:v>
      </x:c>
      <x:c r="H33" s="22" t="str">
        <x:v>S5-01</x:v>
      </x:c>
      <x:c r="I33" s="22" t="str">
        <x:v>D-05;D-06</x:v>
      </x:c>
      <x:c r="J33" s="22" t="str">
        <x:v>待需求与技术方案会签</x:v>
      </x:c>
      <x:c r="K33" s="22" t="str">
        <x:v>工作日规则需可用日历</x:v>
      </x:c>
    </x:row>
    <x:row r="34" ht="45" customHeight="1">
      <x:c r="A34" s="22" t="str">
        <x:v>API-029</x:v>
      </x:c>
      <x:c r="B34" s="22" t="str">
        <x:v>规则配置</x:v>
      </x:c>
      <x:c r="C34" s="22" t="str">
        <x:v>POST</x:v>
      </x:c>
      <x:c r="D34" s="22" t="str">
        <x:v>/api/v1/reminder-rules/{rule_id}/review</x:v>
      </x:c>
      <x:c r="E34" s="22" t="str">
        <x:v>审批规则版本</x:v>
      </x:c>
      <x:c r="F34" s="22" t="str">
        <x:v>S5</x:v>
      </x:c>
      <x:c r="G34" s="22" t="str">
        <x:v>P0</x:v>
      </x:c>
      <x:c r="H34" s="22" t="str">
        <x:v>S5-01</x:v>
      </x:c>
      <x:c r="I34" s="22" t="str">
        <x:v>D-05;D-06</x:v>
      </x:c>
      <x:c r="J34" s="22" t="str">
        <x:v>待需求与技术方案会签</x:v>
      </x:c>
      <x:c r="K34" s="22" t="str">
        <x:v>已批准规则版本不可原地改写</x:v>
      </x:c>
    </x:row>
    <x:row r="35" ht="45" customHeight="1">
      <x:c r="A35" s="22" t="str">
        <x:v>API-030</x:v>
      </x:c>
      <x:c r="B35" s="22" t="str">
        <x:v>规则配置</x:v>
      </x:c>
      <x:c r="C35" s="22" t="str">
        <x:v>POST</x:v>
      </x:c>
      <x:c r="D35" s="22" t="str">
        <x:v>/api/v1/reminder-rules/preview-trigger</x:v>
      </x:c>
      <x:c r="E35" s="22" t="str">
        <x:v>试算触发日期</x:v>
      </x:c>
      <x:c r="F35" s="22" t="str">
        <x:v>S5</x:v>
      </x:c>
      <x:c r="G35" s="22" t="str">
        <x:v>P0</x:v>
      </x:c>
      <x:c r="H35" s="22" t="str">
        <x:v>S5-01</x:v>
      </x:c>
      <x:c r="I35" s="22" t="str">
        <x:v>D-05;D-06</x:v>
      </x:c>
      <x:c r="J35" s="22" t="str">
        <x:v>待需求与技术方案会签</x:v>
      </x:c>
      <x:c r="K35" s="22" t="str">
        <x:v>不生成真实提醒；假日日历缺失返回不可计算</x:v>
      </x:c>
    </x:row>
    <x:row r="36" ht="45" customHeight="1">
      <x:c r="A36" s="22" t="str">
        <x:v>API-031</x:v>
      </x:c>
      <x:c r="B36" s="22" t="str">
        <x:v>提醒生成</x:v>
      </x:c>
      <x:c r="C36" s="22" t="str">
        <x:v>POST</x:v>
      </x:c>
      <x:c r="D36" s="22" t="str">
        <x:v>/api/v1/reminder-jobs/simulate</x:v>
      </x:c>
      <x:c r="E36" s="22" t="str">
        <x:v>模拟扫描预览（不落库）</x:v>
      </x:c>
      <x:c r="F36" s="22" t="str">
        <x:v>S5</x:v>
      </x:c>
      <x:c r="G36" s="22" t="str">
        <x:v>P0</x:v>
      </x:c>
      <x:c r="H36" s="22" t="str">
        <x:v>S5-02</x:v>
      </x:c>
      <x:c r="I36" s="22" t="str">
        <x:v>D-05;D-06;D-07</x:v>
      </x:c>
      <x:c r="J36" s="22" t="str">
        <x:v>待需求与技术方案会签</x:v>
      </x:c>
      <x:c r="K36" s="22" t="str">
        <x:v>不对外发送，仅返回匹配和跳过原因</x:v>
      </x:c>
    </x:row>
    <x:row r="37" ht="45" customHeight="1">
      <x:c r="A37" s="22" t="str">
        <x:v>API-032</x:v>
      </x:c>
      <x:c r="B37" s="22" t="str">
        <x:v>提醒生成</x:v>
      </x:c>
      <x:c r="C37" s="22" t="str">
        <x:v>POST</x:v>
      </x:c>
      <x:c r="D37" s="22" t="str">
        <x:v>/api/v1/reminder-jobs/run</x:v>
      </x:c>
      <x:c r="E37" s="22" t="str">
        <x:v>授权作业触发入口（受限）</x:v>
      </x:c>
      <x:c r="F37" s="22" t="str">
        <x:v>S5</x:v>
      </x:c>
      <x:c r="G37" s="22" t="str">
        <x:v>P0</x:v>
      </x:c>
      <x:c r="H37" s="22" t="str">
        <x:v>S5-02</x:v>
      </x:c>
      <x:c r="I37" s="22" t="str">
        <x:v>D-05;D-06;D-07</x:v>
      </x:c>
      <x:c r="J37" s="22" t="str">
        <x:v>待需求与技术方案会签</x:v>
      </x:c>
      <x:c r="K37" s="22" t="str">
        <x:v>仅系统身份可用；抢锁+事务幂等</x:v>
      </x:c>
    </x:row>
    <x:row r="38" ht="45" customHeight="1">
      <x:c r="A38" s="22" t="str">
        <x:v>API-033</x:v>
      </x:c>
      <x:c r="B38" s="22" t="str">
        <x:v>提醒生成</x:v>
      </x:c>
      <x:c r="C38" s="22" t="str">
        <x:v>GET</x:v>
      </x:c>
      <x:c r="D38" s="22" t="str">
        <x:v>/api/v1/reminders</x:v>
      </x:c>
      <x:c r="E38" s="22" t="str">
        <x:v>提醒队列查询</x:v>
      </x:c>
      <x:c r="F38" s="22" t="str">
        <x:v>S5</x:v>
      </x:c>
      <x:c r="G38" s="22" t="str">
        <x:v>P0</x:v>
      </x:c>
      <x:c r="H38" s="22" t="str">
        <x:v>S5-02</x:v>
      </x:c>
      <x:c r="I38" s="22" t="str">
        <x:v>D-05;D-06;D-07</x:v>
      </x:c>
      <x:c r="J38" s="22" t="str">
        <x:v>待需求与技术方案会签</x:v>
      </x:c>
      <x:c r="K38" s="22" t="str">
        <x:v>按授权范围过滤</x:v>
      </x:c>
    </x:row>
    <x:row r="39" ht="45" customHeight="1">
      <x:c r="A39" s="22" t="str">
        <x:v>API-034</x:v>
      </x:c>
      <x:c r="B39" s="22" t="str">
        <x:v>提醒生成</x:v>
      </x:c>
      <x:c r="C39" s="22" t="str">
        <x:v>GET</x:v>
      </x:c>
      <x:c r="D39" s="22" t="str">
        <x:v>/api/v1/reminders/{reminder_id}</x:v>
      </x:c>
      <x:c r="E39" s="22" t="str">
        <x:v>提醒明细与版本</x:v>
      </x:c>
      <x:c r="F39" s="22" t="str">
        <x:v>S5</x:v>
      </x:c>
      <x:c r="G39" s="22" t="str">
        <x:v>P0</x:v>
      </x:c>
      <x:c r="H39" s="22" t="str">
        <x:v>S5-02</x:v>
      </x:c>
      <x:c r="I39" s="22" t="str">
        <x:v>D-05;D-06;D-07</x:v>
      </x:c>
      <x:c r="J39" s="22" t="str">
        <x:v>待需求与技术方案会签</x:v>
      </x:c>
      <x:c r="K39" s="22" t="str">
        <x:v>标识失效原因及引用快照</x:v>
      </x:c>
    </x:row>
    <x:row r="40" ht="45" customHeight="1">
      <x:c r="A40" s="22" t="str">
        <x:v>API-035</x:v>
      </x:c>
      <x:c r="B40" s="22" t="str">
        <x:v>通知审核</x:v>
      </x:c>
      <x:c r="C40" s="22" t="str">
        <x:v>GET</x:v>
      </x:c>
      <x:c r="D40" s="22" t="str">
        <x:v>/api/v1/notifications</x:v>
      </x:c>
      <x:c r="E40" s="22" t="str">
        <x:v>通知草稿/审核列表</x:v>
      </x:c>
      <x:c r="F40" s="22" t="str">
        <x:v>S5</x:v>
      </x:c>
      <x:c r="G40" s="22" t="str">
        <x:v>P0</x:v>
      </x:c>
      <x:c r="H40" s="22" t="str">
        <x:v>S5-03</x:v>
      </x:c>
      <x:c r="I40" s="22" t="str">
        <x:v>D-07;D-12</x:v>
      </x:c>
      <x:c r="J40" s="22" t="str">
        <x:v>待需求与技术方案会签</x:v>
      </x:c>
      <x:c r="K40" s="22" t="str">
        <x:v>审核通过不意味着已发送</x:v>
      </x:c>
    </x:row>
    <x:row r="41" ht="45" customHeight="1">
      <x:c r="A41" s="22" t="str">
        <x:v>API-036</x:v>
      </x:c>
      <x:c r="B41" s="22" t="str">
        <x:v>通知审核</x:v>
      </x:c>
      <x:c r="C41" s="22" t="str">
        <x:v>GET</x:v>
      </x:c>
      <x:c r="D41" s="22" t="str">
        <x:v>/api/v1/notifications/{notification_id}</x:v>
      </x:c>
      <x:c r="E41" s="22" t="str">
        <x:v>通知详情</x:v>
      </x:c>
      <x:c r="F41" s="22" t="str">
        <x:v>S5</x:v>
      </x:c>
      <x:c r="G41" s="22" t="str">
        <x:v>P0</x:v>
      </x:c>
      <x:c r="H41" s="22" t="str">
        <x:v>S5-03</x:v>
      </x:c>
      <x:c r="I41" s="22" t="str">
        <x:v>D-07;D-12</x:v>
      </x:c>
      <x:c r="J41" s="22" t="str">
        <x:v>待需求与技术方案会签</x:v>
      </x:c>
      <x:c r="K41" s="22" t="str">
        <x:v>返回事实快照和审批历史</x:v>
      </x:c>
    </x:row>
    <x:row r="42" ht="45" customHeight="1">
      <x:c r="A42" s="22" t="str">
        <x:v>API-037</x:v>
      </x:c>
      <x:c r="B42" s="22" t="str">
        <x:v>通知审核</x:v>
      </x:c>
      <x:c r="C42" s="22" t="str">
        <x:v>PATCH</x:v>
      </x:c>
      <x:c r="D42" s="22" t="str">
        <x:v>/api/v1/notifications/{notification_id}/draft</x:v>
      </x:c>
      <x:c r="E42" s="22" t="str">
        <x:v>修改草稿文案</x:v>
      </x:c>
      <x:c r="F42" s="22" t="str">
        <x:v>S5</x:v>
      </x:c>
      <x:c r="G42" s="22" t="str">
        <x:v>P0</x:v>
      </x:c>
      <x:c r="H42" s="22" t="str">
        <x:v>S5-03</x:v>
      </x:c>
      <x:c r="I42" s="22" t="str">
        <x:v>D-07;D-12</x:v>
      </x:c>
      <x:c r="J42" s="22" t="str">
        <x:v>待需求与技术方案会签</x:v>
      </x:c>
      <x:c r="K42" s="22" t="str">
        <x:v>草稿版本递增；已审批版本不可修改</x:v>
      </x:c>
    </x:row>
    <x:row r="43" ht="45" customHeight="1">
      <x:c r="A43" s="22" t="str">
        <x:v>API-038</x:v>
      </x:c>
      <x:c r="B43" s="22" t="str">
        <x:v>通知审核</x:v>
      </x:c>
      <x:c r="C43" s="22" t="str">
        <x:v>POST</x:v>
      </x:c>
      <x:c r="D43" s="22" t="str">
        <x:v>/api/v1/notifications/{notification_id}/submit-review</x:v>
      </x:c>
      <x:c r="E43" s="22" t="str">
        <x:v>提交通知审核</x:v>
      </x:c>
      <x:c r="F43" s="22" t="str">
        <x:v>S5</x:v>
      </x:c>
      <x:c r="G43" s="22" t="str">
        <x:v>P0</x:v>
      </x:c>
      <x:c r="H43" s="22" t="str">
        <x:v>S5-03</x:v>
      </x:c>
      <x:c r="I43" s="22" t="str">
        <x:v>D-07;D-12</x:v>
      </x:c>
      <x:c r="J43" s="22" t="str">
        <x:v>待需求与技术方案会签</x:v>
      </x:c>
      <x:c r="K43" s="22" t="str">
        <x:v>接收人与依据均已确认</x:v>
      </x:c>
    </x:row>
    <x:row r="44" ht="45" customHeight="1">
      <x:c r="A44" s="22" t="str">
        <x:v>API-039</x:v>
      </x:c>
      <x:c r="B44" s="22" t="str">
        <x:v>通知审核</x:v>
      </x:c>
      <x:c r="C44" s="22" t="str">
        <x:v>POST</x:v>
      </x:c>
      <x:c r="D44" s="22" t="str">
        <x:v>/api/v1/notifications/{notification_id}/review</x:v>
      </x:c>
      <x:c r="E44" s="22" t="str">
        <x:v>审核通过/退回</x:v>
      </x:c>
      <x:c r="F44" s="22" t="str">
        <x:v>S5</x:v>
      </x:c>
      <x:c r="G44" s="22" t="str">
        <x:v>P0</x:v>
      </x:c>
      <x:c r="H44" s="22" t="str">
        <x:v>S5-03</x:v>
      </x:c>
      <x:c r="I44" s="22" t="str">
        <x:v>D-07;D-12</x:v>
      </x:c>
      <x:c r="J44" s="22" t="str">
        <x:v>待需求与技术方案会签</x:v>
      </x:c>
      <x:c r="K44" s="22" t="str">
        <x:v>审核绑定固定文稿版本；不自动发出</x:v>
      </x:c>
    </x:row>
    <x:row r="45" ht="45" customHeight="1">
      <x:c r="A45" s="22" t="str">
        <x:v>API-040</x:v>
      </x:c>
      <x:c r="B45" s="22" t="str">
        <x:v>通知审核</x:v>
      </x:c>
      <x:c r="C45" s="22" t="str">
        <x:v>POST</x:v>
      </x:c>
      <x:c r="D45" s="22" t="str">
        <x:v>/api/v1/notifications/{notification_id}/dispatch</x:v>
      </x:c>
      <x:c r="E45" s="22" t="str">
        <x:v>投递通知（预留/默认关闭）</x:v>
      </x:c>
      <x:c r="F45" s="22" t="str">
        <x:v>S5</x:v>
      </x:c>
      <x:c r="G45" s="22" t="str">
        <x:v>预留</x:v>
      </x:c>
      <x:c r="H45" s="22" t="str">
        <x:v>S5-03</x:v>
      </x:c>
      <x:c r="I45" s="22" t="str">
        <x:v>D-07;D-12</x:v>
      </x:c>
      <x:c r="J45" s="22" t="str">
        <x:v>默认关闭；渠道与权限审批后另行启用</x:v>
      </x:c>
      <x:c r="K45" s="22" t="str">
        <x:v>渠道未授权配置时必须拒绝</x:v>
      </x:c>
    </x:row>
    <x:row r="46" ht="45" customHeight="1">
      <x:c r="A46" s="22" t="str">
        <x:v>API-041</x:v>
      </x:c>
      <x:c r="B46" s="22" t="str">
        <x:v>任务反馈</x:v>
      </x:c>
      <x:c r="C46" s="22" t="str">
        <x:v>GET</x:v>
      </x:c>
      <x:c r="D46" s="22" t="str">
        <x:v>/api/v1/tasks</x:v>
      </x:c>
      <x:c r="E46" s="22" t="str">
        <x:v>待办分页与状态</x:v>
      </x:c>
      <x:c r="F46" s="22" t="str">
        <x:v>S5</x:v>
      </x:c>
      <x:c r="G46" s="22" t="str">
        <x:v>P0</x:v>
      </x:c>
      <x:c r="H46" s="22" t="str">
        <x:v>S5-04</x:v>
      </x:c>
      <x:c r="I46" s="22" t="str">
        <x:v>D-04;D-12;D-15</x:v>
      </x:c>
      <x:c r="J46" s="22" t="str">
        <x:v>待需求与技术方案会签</x:v>
      </x:c>
      <x:c r="K46" s="22" t="str">
        <x:v>按任务授权范围</x:v>
      </x:c>
    </x:row>
    <x:row r="47" ht="45" customHeight="1">
      <x:c r="A47" s="22" t="str">
        <x:v>API-042</x:v>
      </x:c>
      <x:c r="B47" s="22" t="str">
        <x:v>任务反馈</x:v>
      </x:c>
      <x:c r="C47" s="22" t="str">
        <x:v>GET</x:v>
      </x:c>
      <x:c r="D47" s="22" t="str">
        <x:v>/api/v1/tasks/{task_id}</x:v>
      </x:c>
      <x:c r="E47" s="22" t="str">
        <x:v>任务详情及动作清单</x:v>
      </x:c>
      <x:c r="F47" s="22" t="str">
        <x:v>S5</x:v>
      </x:c>
      <x:c r="G47" s="22" t="str">
        <x:v>P0</x:v>
      </x:c>
      <x:c r="H47" s="22" t="str">
        <x:v>S5-04</x:v>
      </x:c>
      <x:c r="I47" s="22" t="str">
        <x:v>D-04;D-12;D-15</x:v>
      </x:c>
      <x:c r="J47" s="22" t="str">
        <x:v>待需求与技术方案会签</x:v>
      </x:c>
      <x:c r="K47" s="22" t="str">
        <x:v>展示模板来源</x:v>
      </x:c>
    </x:row>
    <x:row r="48" ht="45" customHeight="1">
      <x:c r="A48" s="22" t="str">
        <x:v>API-043</x:v>
      </x:c>
      <x:c r="B48" s="22" t="str">
        <x:v>任务反馈</x:v>
      </x:c>
      <x:c r="C48" s="22" t="str">
        <x:v>PATCH</x:v>
      </x:c>
      <x:c r="D48" s="22" t="str">
        <x:v>/api/v1/tasks/{task_id}</x:v>
      </x:c>
      <x:c r="E48" s="22" t="str">
        <x:v>更新任务进行中状态/分派</x:v>
      </x:c>
      <x:c r="F48" s="22" t="str">
        <x:v>S5</x:v>
      </x:c>
      <x:c r="G48" s="22" t="str">
        <x:v>P0</x:v>
      </x:c>
      <x:c r="H48" s="22" t="str">
        <x:v>S5-04</x:v>
      </x:c>
      <x:c r="I48" s="22" t="str">
        <x:v>D-04;D-12;D-15</x:v>
      </x:c>
      <x:c r="J48" s="22" t="str">
        <x:v>待需求与技术方案会签</x:v>
      </x:c>
      <x:c r="K48" s="22" t="str">
        <x:v>只允许状态机合法转移</x:v>
      </x:c>
    </x:row>
    <x:row r="49" ht="45" customHeight="1">
      <x:c r="A49" s="22" t="str">
        <x:v>API-044</x:v>
      </x:c>
      <x:c r="B49" s="22" t="str">
        <x:v>任务反馈</x:v>
      </x:c>
      <x:c r="C49" s="22" t="str">
        <x:v>POST</x:v>
      </x:c>
      <x:c r="D49" s="22" t="str">
        <x:v>/api/v1/tasks/{task_id}/feedback</x:v>
      </x:c>
      <x:c r="E49" s="22" t="str">
        <x:v>提交执行反馈</x:v>
      </x:c>
      <x:c r="F49" s="22" t="str">
        <x:v>S5</x:v>
      </x:c>
      <x:c r="G49" s="22" t="str">
        <x:v>P0</x:v>
      </x:c>
      <x:c r="H49" s="22" t="str">
        <x:v>S5-04</x:v>
      </x:c>
      <x:c r="I49" s="22" t="str">
        <x:v>D-04;D-12;D-15</x:v>
      </x:c>
      <x:c r="J49" s="22" t="str">
        <x:v>待需求与技术方案会签</x:v>
      </x:c>
      <x:c r="K49" s="22" t="str">
        <x:v>反馈未核实不得更新节点实际事实</x:v>
      </x:c>
    </x:row>
    <x:row r="50" ht="45" customHeight="1">
      <x:c r="A50" s="22" t="str">
        <x:v>API-045</x:v>
      </x:c>
      <x:c r="B50" s="22" t="str">
        <x:v>任务反馈</x:v>
      </x:c>
      <x:c r="C50" s="22" t="str">
        <x:v>POST</x:v>
      </x:c>
      <x:c r="D50" s="22" t="str">
        <x:v>/api/v1/task-feedback/{feedback_id}/verify</x:v>
      </x:c>
      <x:c r="E50" s="22" t="str">
        <x:v>核实或退回反馈</x:v>
      </x:c>
      <x:c r="F50" s="22" t="str">
        <x:v>S5</x:v>
      </x:c>
      <x:c r="G50" s="22" t="str">
        <x:v>P0</x:v>
      </x:c>
      <x:c r="H50" s="22" t="str">
        <x:v>S5-04</x:v>
      </x:c>
      <x:c r="I50" s="22" t="str">
        <x:v>D-04;D-12;D-15</x:v>
      </x:c>
      <x:c r="J50" s="22" t="str">
        <x:v>待需求与技术方案会签</x:v>
      </x:c>
      <x:c r="K50" s="22" t="str">
        <x:v>独立核实；核实任务不自动等同整个节点完成</x:v>
      </x:c>
    </x:row>
    <x:row r="51" ht="45" customHeight="1">
      <x:c r="A51" s="22" t="str">
        <x:v>API-046</x:v>
      </x:c>
      <x:c r="B51" s="22" t="str">
        <x:v>财务记录</x:v>
      </x:c>
      <x:c r="C51" s="22" t="str">
        <x:v>GET</x:v>
      </x:c>
      <x:c r="D51" s="22" t="str">
        <x:v>/api/v1/projects/{project_id}/financial-records</x:v>
      </x:c>
      <x:c r="E51" s="22" t="str">
        <x:v>分离查看计划与实际收付</x:v>
      </x:c>
      <x:c r="F51" s="22" t="str">
        <x:v>S6</x:v>
      </x:c>
      <x:c r="G51" s="22" t="str">
        <x:v>P0</x:v>
      </x:c>
      <x:c r="H51" s="22" t="str">
        <x:v>S6-01</x:v>
      </x:c>
      <x:c r="I51" s="22" t="str">
        <x:v>D-10;D-12</x:v>
      </x:c>
      <x:c r="J51" s="22" t="str">
        <x:v>财务权限与来源未确认前只做模拟/受控测试</x:v>
      </x:c>
      <x:c r="K51" s="22" t="str">
        <x:v>未核实实际金额不计入已核实合计</x:v>
      </x:c>
    </x:row>
    <x:row r="52" ht="45" customHeight="1">
      <x:c r="A52" s="22" t="str">
        <x:v>API-047</x:v>
      </x:c>
      <x:c r="B52" s="22" t="str">
        <x:v>财务记录</x:v>
      </x:c>
      <x:c r="C52" s="22" t="str">
        <x:v>POST</x:v>
      </x:c>
      <x:c r="D52" s="22" t="str">
        <x:v>/api/v1/projects/{project_id}/financial-plans</x:v>
      </x:c>
      <x:c r="E52" s="22" t="str">
        <x:v>录入经核对的收付款计划</x:v>
      </x:c>
      <x:c r="F52" s="22" t="str">
        <x:v>S6</x:v>
      </x:c>
      <x:c r="G52" s="22" t="str">
        <x:v>P0</x:v>
      </x:c>
      <x:c r="H52" s="22" t="str">
        <x:v>S6-01</x:v>
      </x:c>
      <x:c r="I52" s="22" t="str">
        <x:v>D-10;D-12</x:v>
      </x:c>
      <x:c r="J52" s="22" t="str">
        <x:v>财务权限与来源未确认前只做模拟/受控测试</x:v>
      </x:c>
      <x:c r="K52" s="22" t="str">
        <x:v>计划≠实际，合同日期来源明确</x:v>
      </x:c>
    </x:row>
    <x:row r="53" ht="45" customHeight="1">
      <x:c r="A53" s="22" t="str">
        <x:v>API-048</x:v>
      </x:c>
      <x:c r="B53" s="22" t="str">
        <x:v>财务记录</x:v>
      </x:c>
      <x:c r="C53" s="22" t="str">
        <x:v>POST</x:v>
      </x:c>
      <x:c r="D53" s="22" t="str">
        <x:v>/api/v1/projects/{project_id}/financial-actuals</x:v>
      </x:c>
      <x:c r="E53" s="22" t="str">
        <x:v>提交实际收付款记录</x:v>
      </x:c>
      <x:c r="F53" s="22" t="str">
        <x:v>S6</x:v>
      </x:c>
      <x:c r="G53" s="22" t="str">
        <x:v>P0</x:v>
      </x:c>
      <x:c r="H53" s="22" t="str">
        <x:v>S6-01</x:v>
      </x:c>
      <x:c r="I53" s="22" t="str">
        <x:v>D-10;D-12</x:v>
      </x:c>
      <x:c r="J53" s="22" t="str">
        <x:v>财务权限与来源未确认前只做模拟/受控测试</x:v>
      </x:c>
      <x:c r="K53" s="22" t="str">
        <x:v>入库初态待核实，禁止自动产生财务结论</x:v>
      </x:c>
    </x:row>
    <x:row r="54" ht="45" customHeight="1">
      <x:c r="A54" s="22" t="str">
        <x:v>API-049</x:v>
      </x:c>
      <x:c r="B54" s="22" t="str">
        <x:v>财务记录</x:v>
      </x:c>
      <x:c r="C54" s="22" t="str">
        <x:v>POST</x:v>
      </x:c>
      <x:c r="D54" s="22" t="str">
        <x:v>/api/v1/financial-actuals/{actual_id}/verify</x:v>
      </x:c>
      <x:c r="E54" s="22" t="str">
        <x:v>财务核实</x:v>
      </x:c>
      <x:c r="F54" s="22" t="str">
        <x:v>S6</x:v>
      </x:c>
      <x:c r="G54" s="22" t="str">
        <x:v>P0</x:v>
      </x:c>
      <x:c r="H54" s="22" t="str">
        <x:v>S6-01</x:v>
      </x:c>
      <x:c r="I54" s="22" t="str">
        <x:v>D-10;D-12</x:v>
      </x:c>
      <x:c r="J54" s="22" t="str">
        <x:v>财务权限与来源未确认前只做模拟/受控测试</x:v>
      </x:c>
      <x:c r="K54" s="22" t="str">
        <x:v>必须财务核实权限</x:v>
      </x:c>
    </x:row>
    <x:row r="55" ht="45" customHeight="1">
      <x:c r="A55" s="22" t="str">
        <x:v>API-050</x:v>
      </x:c>
      <x:c r="B55" s="22" t="str">
        <x:v>Excel导入</x:v>
      </x:c>
      <x:c r="C55" s="22" t="str">
        <x:v>POST</x:v>
      </x:c>
      <x:c r="D55" s="22" t="str">
        <x:v>/api/v1/imports/preview</x:v>
      </x:c>
      <x:c r="E55" s="22" t="str">
        <x:v>上传、字段映射、逐行校验</x:v>
      </x:c>
      <x:c r="F55" s="22" t="str">
        <x:v>S4</x:v>
      </x:c>
      <x:c r="G55" s="22" t="str">
        <x:v>P0</x:v>
      </x:c>
      <x:c r="H55" s="22" t="str">
        <x:v>S4-07</x:v>
      </x:c>
      <x:c r="I55" s="22" t="str">
        <x:v>D-02;D-08</x:v>
      </x:c>
      <x:c r="J55" s="22" t="str">
        <x:v>待需求与技术方案会签</x:v>
      </x:c>
      <x:c r="K55" s="22" t="str">
        <x:v>只暂存文件和校验结果；不提交业务表</x:v>
      </x:c>
    </x:row>
    <x:row r="56" ht="45" customHeight="1">
      <x:c r="A56" s="22" t="str">
        <x:v>API-051</x:v>
      </x:c>
      <x:c r="B56" s="22" t="str">
        <x:v>Excel导入</x:v>
      </x:c>
      <x:c r="C56" s="22" t="str">
        <x:v>GET</x:v>
      </x:c>
      <x:c r="D56" s="22" t="str">
        <x:v>/api/v1/imports/{batch_id}</x:v>
      </x:c>
      <x:c r="E56" s="22" t="str">
        <x:v>查询批次预览/提交结果</x:v>
      </x:c>
      <x:c r="F56" s="22" t="str">
        <x:v>S4</x:v>
      </x:c>
      <x:c r="G56" s="22" t="str">
        <x:v>P0</x:v>
      </x:c>
      <x:c r="H56" s="22" t="str">
        <x:v>S4-07</x:v>
      </x:c>
      <x:c r="I56" s="22" t="str">
        <x:v>D-02;D-08</x:v>
      </x:c>
      <x:c r="J56" s="22" t="str">
        <x:v>待需求与技术方案会签</x:v>
      </x:c>
      <x:c r="K56" s="22" t="str">
        <x:v>返回每行错误与去重结果</x:v>
      </x:c>
    </x:row>
    <x:row r="57" ht="45" customHeight="1">
      <x:c r="A57" s="22" t="str">
        <x:v>API-052</x:v>
      </x:c>
      <x:c r="B57" s="22" t="str">
        <x:v>Excel导入</x:v>
      </x:c>
      <x:c r="C57" s="22" t="str">
        <x:v>POST</x:v>
      </x:c>
      <x:c r="D57" s="22" t="str">
        <x:v>/api/v1/imports/{batch_id}/commit</x:v>
      </x:c>
      <x:c r="E57" s="22" t="str">
        <x:v>确认写入有效行</x:v>
      </x:c>
      <x:c r="F57" s="22" t="str">
        <x:v>S4</x:v>
      </x:c>
      <x:c r="G57" s="22" t="str">
        <x:v>P0</x:v>
      </x:c>
      <x:c r="H57" s="22" t="str">
        <x:v>S4-07</x:v>
      </x:c>
      <x:c r="I57" s="22" t="str">
        <x:v>D-02;D-08</x:v>
      </x:c>
      <x:c r="J57" s="22" t="str">
        <x:v>待需求与技术方案会签</x:v>
      </x:c>
      <x:c r="K57" s="22" t="str">
        <x:v>二次校验防TOCTOU；重复编号不覆盖</x:v>
      </x:c>
    </x:row>
    <x:row r="58" ht="45" customHeight="1">
      <x:c r="A58" s="22" t="str">
        <x:v>API-053</x:v>
      </x:c>
      <x:c r="B58" s="22" t="str">
        <x:v>Excel导入</x:v>
      </x:c>
      <x:c r="C58" s="22" t="str">
        <x:v>GET</x:v>
      </x:c>
      <x:c r="D58" s="22" t="str">
        <x:v>/api/v1/imports/{batch_id}/errors</x:v>
      </x:c>
      <x:c r="E58" s="22" t="str">
        <x:v>下载错误清单</x:v>
      </x:c>
      <x:c r="F58" s="22" t="str">
        <x:v>S4</x:v>
      </x:c>
      <x:c r="G58" s="22" t="str">
        <x:v>P0</x:v>
      </x:c>
      <x:c r="H58" s="22" t="str">
        <x:v>S4-07</x:v>
      </x:c>
      <x:c r="I58" s="22" t="str">
        <x:v>D-02;D-08</x:v>
      </x:c>
      <x:c r="J58" s="22" t="str">
        <x:v>待需求与技术方案会签</x:v>
      </x:c>
      <x:c r="K58" s="22" t="str">
        <x:v>含原行号、字段、错误码</x:v>
      </x:c>
    </x:row>
    <x:row r="59" ht="45" customHeight="1">
      <x:c r="A59" s="22" t="str">
        <x:v>API-054</x:v>
      </x:c>
      <x:c r="B59" s="22" t="str">
        <x:v>量化评估</x:v>
      </x:c>
      <x:c r="C59" s="22" t="str">
        <x:v>GET</x:v>
      </x:c>
      <x:c r="D59" s="22" t="str">
        <x:v>/api/v1/metrics/summary</x:v>
      </x:c>
      <x:c r="E59" s="22" t="str">
        <x:v>授权项目整体指标</x:v>
      </x:c>
      <x:c r="F59" s="22" t="str">
        <x:v>S6</x:v>
      </x:c>
      <x:c r="G59" s="22" t="str">
        <x:v>P0</x:v>
      </x:c>
      <x:c r="H59" s="22" t="str">
        <x:v>S6-02</x:v>
      </x:c>
      <x:c r="I59" s="22" t="str">
        <x:v>D-09</x:v>
      </x:c>
      <x:c r="J59" s="22" t="str">
        <x:v>待需求与技术方案会签</x:v>
      </x:c>
      <x:c r="K59" s="22" t="str">
        <x:v>按分子分母汇总，不平均比率</x:v>
      </x:c>
    </x:row>
    <x:row r="60" ht="45" customHeight="1">
      <x:c r="A60" s="22" t="str">
        <x:v>API-055</x:v>
      </x:c>
      <x:c r="B60" s="22" t="str">
        <x:v>量化评估</x:v>
      </x:c>
      <x:c r="C60" s="22" t="str">
        <x:v>GET</x:v>
      </x:c>
      <x:c r="D60" s="22" t="str">
        <x:v>/api/v1/projects/{project_id}/metrics</x:v>
      </x:c>
      <x:c r="E60" s="22" t="str">
        <x:v>单项目可复算指标</x:v>
      </x:c>
      <x:c r="F60" s="22" t="str">
        <x:v>S6</x:v>
      </x:c>
      <x:c r="G60" s="22" t="str">
        <x:v>P0</x:v>
      </x:c>
      <x:c r="H60" s="22" t="str">
        <x:v>S6-02</x:v>
      </x:c>
      <x:c r="I60" s="22" t="str">
        <x:v>D-09</x:v>
      </x:c>
      <x:c r="J60" s="22" t="str">
        <x:v>待需求与技术方案会签</x:v>
      </x:c>
      <x:c r="K60" s="22" t="str">
        <x:v>显示待核对数、分母、口径版本</x:v>
      </x:c>
    </x:row>
    <x:row r="61" ht="45" customHeight="1">
      <x:c r="A61" s="22" t="str">
        <x:v>API-056</x:v>
      </x:c>
      <x:c r="B61" s="22" t="str">
        <x:v>量化评估</x:v>
      </x:c>
      <x:c r="C61" s="22" t="str">
        <x:v>GET</x:v>
      </x:c>
      <x:c r="D61" s="22" t="str">
        <x:v>/api/v1/projects/{project_id}/metric-evidence</x:v>
      </x:c>
      <x:c r="E61" s="22" t="str">
        <x:v>统计指标证据明细</x:v>
      </x:c>
      <x:c r="F61" s="22" t="str">
        <x:v>S6</x:v>
      </x:c>
      <x:c r="G61" s="22" t="str">
        <x:v>P0</x:v>
      </x:c>
      <x:c r="H61" s="22" t="str">
        <x:v>S6-02</x:v>
      </x:c>
      <x:c r="I61" s="22" t="str">
        <x:v>D-09</x:v>
      </x:c>
      <x:c r="J61" s="22" t="str">
        <x:v>待需求与技术方案会签</x:v>
      </x:c>
      <x:c r="K61" s="22" t="str">
        <x:v>与所展示指标共用一个一致快照</x:v>
      </x:c>
    </x:row>
    <x:row r="62" ht="45" customHeight="1">
      <x:c r="A62" s="22" t="str">
        <x:v>API-057</x:v>
      </x:c>
      <x:c r="B62" s="22" t="str">
        <x:v>量化评估</x:v>
      </x:c>
      <x:c r="C62" s="22" t="str">
        <x:v>POST</x:v>
      </x:c>
      <x:c r="D62" s="22" t="str">
        <x:v>/api/v1/projects/{project_id}/metric-snapshots</x:v>
      </x:c>
      <x:c r="E62" s="22" t="str">
        <x:v>生成冻结评价快照</x:v>
      </x:c>
      <x:c r="F62" s="22" t="str">
        <x:v>S6</x:v>
      </x:c>
      <x:c r="G62" s="22" t="str">
        <x:v>P0</x:v>
      </x:c>
      <x:c r="H62" s="22" t="str">
        <x:v>S6-02</x:v>
      </x:c>
      <x:c r="I62" s="22" t="str">
        <x:v>D-09</x:v>
      </x:c>
      <x:c r="J62" s="22" t="str">
        <x:v>待需求与技术方案会签</x:v>
      </x:c>
      <x:c r="K62" s="22" t="str">
        <x:v>来源摘要及计算参数可复核</x:v>
      </x:c>
    </x:row>
    <x:row r="63" ht="45" customHeight="1">
      <x:c r="A63" s="22" t="str">
        <x:v>API-058</x:v>
      </x:c>
      <x:c r="B63" s="22" t="str">
        <x:v>AI与报告</x:v>
      </x:c>
      <x:c r="C63" s="22" t="str">
        <x:v>POST</x:v>
      </x:c>
      <x:c r="D63" s="22" t="str">
        <x:v>/api/v1/projects/{project_id}/reports/draft</x:v>
      </x:c>
      <x:c r="E63" s="22" t="str">
        <x:v>基于Fact Bundle生成报告草稿</x:v>
      </x:c>
      <x:c r="F63" s="22" t="str">
        <x:v>S6</x:v>
      </x:c>
      <x:c r="G63" s="22" t="str">
        <x:v>P1</x:v>
      </x:c>
      <x:c r="H63" s="22" t="str">
        <x:v>S6-04</x:v>
      </x:c>
      <x:c r="I63" s="22" t="str">
        <x:v>D-13;D-16</x:v>
      </x:c>
      <x:c r="J63" s="22" t="str">
        <x:v>事实包和AI数据出域审批后启用</x:v>
      </x:c>
      <x:c r="K63" s="22" t="str">
        <x:v>缺失事实如实标注；模型只读</x:v>
      </x:c>
    </x:row>
    <x:row r="64" ht="45" customHeight="1">
      <x:c r="A64" s="22" t="str">
        <x:v>API-059</x:v>
      </x:c>
      <x:c r="B64" s="22" t="str">
        <x:v>AI与报告</x:v>
      </x:c>
      <x:c r="C64" s="22" t="str">
        <x:v>GET</x:v>
      </x:c>
      <x:c r="D64" s="22" t="str">
        <x:v>/api/v1/reports/{report_id}</x:v>
      </x:c>
      <x:c r="E64" s="22" t="str">
        <x:v>读取报告及引用依据</x:v>
      </x:c>
      <x:c r="F64" s="22" t="str">
        <x:v>S6</x:v>
      </x:c>
      <x:c r="G64" s="22" t="str">
        <x:v>P1</x:v>
      </x:c>
      <x:c r="H64" s="22" t="str">
        <x:v>S6-04</x:v>
      </x:c>
      <x:c r="I64" s="22" t="str">
        <x:v>D-13;D-16</x:v>
      </x:c>
      <x:c r="J64" s="22" t="str">
        <x:v>事实包和AI数据出域审批后启用</x:v>
      </x:c>
      <x:c r="K64" s="22" t="str">
        <x:v>保留模型/规则版本</x:v>
      </x:c>
    </x:row>
    <x:row r="65" ht="45" customHeight="1">
      <x:c r="A65" s="22" t="str">
        <x:v>API-060</x:v>
      </x:c>
      <x:c r="B65" s="22" t="str">
        <x:v>AI与报告</x:v>
      </x:c>
      <x:c r="C65" s="22" t="str">
        <x:v>POST</x:v>
      </x:c>
      <x:c r="D65" s="22" t="str">
        <x:v>/api/v1/reports/{report_id}/review</x:v>
      </x:c>
      <x:c r="E65" s="22" t="str">
        <x:v>人工审核报告</x:v>
      </x:c>
      <x:c r="F65" s="22" t="str">
        <x:v>S6</x:v>
      </x:c>
      <x:c r="G65" s="22" t="str">
        <x:v>P1</x:v>
      </x:c>
      <x:c r="H65" s="22" t="str">
        <x:v>S6-04</x:v>
      </x:c>
      <x:c r="I65" s="22" t="str">
        <x:v>D-13;D-16</x:v>
      </x:c>
      <x:c r="J65" s="22" t="str">
        <x:v>事实包和AI数据出域审批后启用</x:v>
      </x:c>
      <x:c r="K65" s="22" t="str">
        <x:v>生成文字不能改业务记录</x:v>
      </x:c>
    </x:row>
    <x:row r="66" ht="45" customHeight="1">
      <x:c r="A66" s="22" t="str">
        <x:v>API-061</x:v>
      </x:c>
      <x:c r="B66" s="22" t="str">
        <x:v>AI与报告</x:v>
      </x:c>
      <x:c r="C66" s="22" t="str">
        <x:v>GET</x:v>
      </x:c>
      <x:c r="D66" s="22" t="str">
        <x:v>/api/v1/reports/{report_id}/export</x:v>
      </x:c>
      <x:c r="E66" s="22" t="str">
        <x:v>导出审核态报告（格式待定）</x:v>
      </x:c>
      <x:c r="F66" s="22" t="str">
        <x:v>S6</x:v>
      </x:c>
      <x:c r="G66" s="22" t="str">
        <x:v>P1</x:v>
      </x:c>
      <x:c r="H66" s="22" t="str">
        <x:v>S6-04</x:v>
      </x:c>
      <x:c r="I66" s="22" t="str">
        <x:v>D-13;D-16</x:v>
      </x:c>
      <x:c r="J66" s="22" t="str">
        <x:v>事实包和AI数据出域审批后启用</x:v>
      </x:c>
      <x:c r="K66" s="22" t="str">
        <x:v>草稿导出需标明未审核</x:v>
      </x:c>
    </x:row>
  </x:sheetData>
  <x:mergeCells>
    <x:mergeCell ref="A1:K2"/>
    <x:mergeCell ref="A3:K3"/>
  </x:mergeCells>
  <x:pageMargins left="0.7" right="0.7" top="0.75" bottom="0.75" header="0.3" footer="0.3"/>
  <x:tableParts count="1">
    <x:tablePart xmlns:r="http://schemas.openxmlformats.org/officeDocument/2006/relationships" r:id="R7a9eaf1dd532412a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20" hidden="0" customWidth="1"/>
    <x:col min="4" max="4" width="47" hidden="0" customWidth="1"/>
    <x:col min="5" max="5" width="25" hidden="0" customWidth="1"/>
    <x:col min="6" max="6" width="51" hidden="0" customWidth="1"/>
    <x:col min="7" max="7" width="14" hidden="0" customWidth="1"/>
    <x:col min="8" max="8" width="52" hidden="0" customWidth="1"/>
    <x:col min="9" max="9" width="14" hidden="0" customWidth="1"/>
    <x:col min="10" max="10" width="14" hidden="0" customWidth="1"/>
    <x:col min="11" max="11" width="29" hidden="0" customWidth="1"/>
  </x:cols>
  <x:sheetData>
    <x:row r="1" ht="22" customHeight="1">
      <x:c r="A1" s="4" t="str">
        <x:v>18个模拟测试用例 · 开发任务追踪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28" customHeight="1">
      <x:c r="A3" s="10" t="str">
        <x:v>来源：模拟Excel V0.1中07工作表；这些用例全部尚未在真实后端执行。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5" ht="31" customHeight="1">
      <x:c r="A5" s="16" t="str">
        <x:v>用例ID</x:v>
      </x:c>
      <x:c r="B5" s="16" t="str">
        <x:v>测试类别</x:v>
      </x:c>
      <x:c r="C5" s="16" t="str">
        <x:v>业务对象</x:v>
      </x:c>
      <x:c r="D5" s="16" t="str">
        <x:v>模拟输入</x:v>
      </x:c>
      <x:c r="E5" s="16" t="str">
        <x:v>预期结果</x:v>
      </x:c>
      <x:c r="F5" s="16" t="str">
        <x:v>预期断言</x:v>
      </x:c>
      <x:c r="G5" s="16" t="str">
        <x:v>目标WBS</x:v>
      </x:c>
      <x:c r="H5" s="16" t="str">
        <x:v>候选接口</x:v>
      </x:c>
      <x:c r="I5" s="16" t="str">
        <x:v>前置决策</x:v>
      </x:c>
      <x:c r="J5" s="16" t="str">
        <x:v>执行状态</x:v>
      </x:c>
      <x:c r="K5" s="16" t="str">
        <x:v>检查条件</x:v>
      </x:c>
    </x:row>
    <x:row r="6" ht="52" customHeight="1">
      <x:c r="A6" s="22" t="str">
        <x:v>TC-001</x:v>
      </x:c>
      <x:c r="B6" s="22" t="str">
        <x:v>节点评价</x:v>
      </x:c>
      <x:c r="C6" s="22" t="str">
        <x:v>H028-N005</x:v>
      </x:c>
      <x:c r="D6" s="22" t="str">
        <x:v>2026-10-10计划，2026-10-09核实完成</x:v>
      </x:c>
      <x:c r="E6" s="22" t="str">
        <x:v>按期完成</x:v>
      </x:c>
      <x:c r="F6" s="22" t="str">
        <x:v>无偏差负面结论</x:v>
      </x:c>
      <x:c r="G6" s="22" t="str">
        <x:v>S6-02</x:v>
      </x:c>
      <x:c r="H6" s="22" t="str">
        <x:v>GET /projects/{id}/metrics</x:v>
      </x:c>
      <x:c r="I6" s="22" t="str">
        <x:v>D-09</x:v>
      </x:c>
      <x:c r="J6" s="22" t="str">
        <x:v>未执行</x:v>
      </x:c>
      <x:c r="K6" s="22" t="str">
        <x:v>样例可直接复核</x:v>
      </x:c>
    </x:row>
    <x:row r="7" ht="52" customHeight="1">
      <x:c r="A7" s="22" t="str">
        <x:v>TC-002</x:v>
      </x:c>
      <x:c r="B7" s="22" t="str">
        <x:v>节点评价</x:v>
      </x:c>
      <x:c r="C7" s="22" t="str">
        <x:v>H028-N006</x:v>
      </x:c>
      <x:c r="D7" s="22" t="str">
        <x:v>10-12计划，10-15核实完成</x:v>
      </x:c>
      <x:c r="E7" s="22" t="str">
        <x:v>延期完成</x:v>
      </x:c>
      <x:c r="F7" s="22" t="str">
        <x:v>+3自然日</x:v>
      </x:c>
      <x:c r="G7" s="22" t="str">
        <x:v>S6-02</x:v>
      </x:c>
      <x:c r="H7" s="22" t="str">
        <x:v>GET /projects/{id}/metric-evidence</x:v>
      </x:c>
      <x:c r="I7" s="22" t="str">
        <x:v>D-09</x:v>
      </x:c>
      <x:c r="J7" s="22" t="str">
        <x:v>未执行</x:v>
      </x:c>
      <x:c r="K7" s="22" t="str">
        <x:v>样例可直接复核</x:v>
      </x:c>
    </x:row>
    <x:row r="8" ht="52" customHeight="1">
      <x:c r="A8" s="22" t="str">
        <x:v>TC-003</x:v>
      </x:c>
      <x:c r="B8" s="22" t="str">
        <x:v>节点评价</x:v>
      </x:c>
      <x:c r="C8" s="22" t="str">
        <x:v>H028-N008</x:v>
      </x:c>
      <x:c r="D8" s="22" t="str">
        <x:v>计划10-16，实际日期缺失，待核实</x:v>
      </x:c>
      <x:c r="E8" s="22" t="str">
        <x:v>待核对</x:v>
      </x:c>
      <x:c r="F8" s="22" t="str">
        <x:v>不得直接判定延期</x:v>
      </x:c>
      <x:c r="G8" s="22" t="str">
        <x:v>S6-02</x:v>
      </x:c>
      <x:c r="H8" s="22" t="str">
        <x:v>POST /milestone-actuals/{id}/verify</x:v>
      </x:c>
      <x:c r="I8" s="22" t="str">
        <x:v>D-09</x:v>
      </x:c>
      <x:c r="J8" s="22" t="str">
        <x:v>未执行</x:v>
      </x:c>
      <x:c r="K8" s="22" t="str">
        <x:v>样例可直接复核</x:v>
      </x:c>
    </x:row>
    <x:row r="9" ht="52" customHeight="1">
      <x:c r="A9" s="22" t="str">
        <x:v>TC-004</x:v>
      </x:c>
      <x:c r="B9" s="22" t="str">
        <x:v>节点评价</x:v>
      </x:c>
      <x:c r="C9" s="22" t="str">
        <x:v>H028-N011</x:v>
      </x:c>
      <x:c r="D9" s="22" t="str">
        <x:v>计划10-26，统计截止10-19</x:v>
      </x:c>
      <x:c r="E9" s="22" t="str">
        <x:v>未到期</x:v>
      </x:c>
      <x:c r="F9" s="22" t="str">
        <x:v>不得计入10-19到期分母</x:v>
      </x:c>
      <x:c r="G9" s="22" t="str">
        <x:v>S6-02</x:v>
      </x:c>
      <x:c r="H9" s="22" t="str">
        <x:v>GET /projects/{id}/metrics</x:v>
      </x:c>
      <x:c r="I9" s="22" t="str">
        <x:v>D-09</x:v>
      </x:c>
      <x:c r="J9" s="22" t="str">
        <x:v>未执行</x:v>
      </x:c>
      <x:c r="K9" s="22" t="str">
        <x:v>样例可直接复核</x:v>
      </x:c>
    </x:row>
    <x:row r="10" ht="52" customHeight="1">
      <x:c r="A10" s="22" t="str">
        <x:v>TC-005</x:v>
      </x:c>
      <x:c r="B10" s="22" t="str">
        <x:v>按期率</x:v>
      </x:c>
      <x:c r="C10" s="22" t="str">
        <x:v>P-H028</x:v>
      </x:c>
      <x:c r="D10" s="22" t="str">
        <x:v>到期16；按期14；延期1；待核对1</x:v>
      </x:c>
      <x:c r="E10" s="22" t="str">
        <x:v>93.3%</x:v>
      </x:c>
      <x:c r="F10" s="22" t="str">
        <x:v>14÷(14+1)</x:v>
      </x:c>
      <x:c r="G10" s="22" t="str">
        <x:v>S6-02</x:v>
      </x:c>
      <x:c r="H10" s="22" t="str">
        <x:v>GET /projects/{id}/metrics</x:v>
      </x:c>
      <x:c r="I10" s="22" t="str">
        <x:v>D-09</x:v>
      </x:c>
      <x:c r="J10" s="22" t="str">
        <x:v>未执行</x:v>
      </x:c>
      <x:c r="K10" s="22" t="str">
        <x:v>样例可直接复核</x:v>
      </x:c>
    </x:row>
    <x:row r="11" ht="52" customHeight="1">
      <x:c r="A11" s="22" t="str">
        <x:v>TC-006</x:v>
      </x:c>
      <x:c r="B11" s="22" t="str">
        <x:v>总体按期率</x:v>
      </x:c>
      <x:c r="C11" s="22" t="str">
        <x:v>3个项目</x:v>
      </x:c>
      <x:c r="D11" s="22" t="str">
        <x:v>到期36；按期30；延期4；待核对2</x:v>
      </x:c>
      <x:c r="E11" s="22" t="str">
        <x:v>88.2%</x:v>
      </x:c>
      <x:c r="F11" s="22" t="str">
        <x:v>30÷34；不能简单平均各项目比例</x:v>
      </x:c>
      <x:c r="G11" s="22" t="str">
        <x:v>S6-02</x:v>
      </x:c>
      <x:c r="H11" s="22" t="str">
        <x:v>GET /metrics/summary</x:v>
      </x:c>
      <x:c r="I11" s="22" t="str">
        <x:v>D-09</x:v>
      </x:c>
      <x:c r="J11" s="22" t="str">
        <x:v>未执行</x:v>
      </x:c>
      <x:c r="K11" s="22" t="str">
        <x:v>样例可直接复核</x:v>
      </x:c>
    </x:row>
    <x:row r="12" ht="52" customHeight="1">
      <x:c r="A12" s="22" t="str">
        <x:v>TC-007</x:v>
      </x:c>
      <x:c r="B12" s="22" t="str">
        <x:v>提醒计算</x:v>
      </x:c>
      <x:c r="C12" s="22" t="str">
        <x:v>H028-N011</x:v>
      </x:c>
      <x:c r="D12" s="22" t="str">
        <x:v>10-26计划，提前7自然日，运行10-19</x:v>
      </x:c>
      <x:c r="E12" s="22" t="str">
        <x:v>触发日10-19</x:v>
      </x:c>
      <x:c r="F12" s="22" t="str">
        <x:v>已有草稿，不能重复生成</x:v>
      </x:c>
      <x:c r="G12" s="22" t="str">
        <x:v>S5-02</x:v>
      </x:c>
      <x:c r="H12" s="22" t="str">
        <x:v>POST /reminder-jobs/run</x:v>
      </x:c>
      <x:c r="I12" s="22" t="str">
        <x:v>D-05</x:v>
      </x:c>
      <x:c r="J12" s="22" t="str">
        <x:v>未执行</x:v>
      </x:c>
      <x:c r="K12" s="22" t="str">
        <x:v>样例可直接复核</x:v>
      </x:c>
    </x:row>
    <x:row r="13" ht="52" customHeight="1">
      <x:c r="A13" s="22" t="str">
        <x:v>TC-008</x:v>
      </x:c>
      <x:c r="B13" s="22" t="str">
        <x:v>提醒计算</x:v>
      </x:c>
      <x:c r="C13" s="22" t="str">
        <x:v>H028-N013</x:v>
      </x:c>
      <x:c r="D13" s="22" t="str">
        <x:v>10-28计划，提前7自然日，运行10-19</x:v>
      </x:c>
      <x:c r="E13" s="22" t="str">
        <x:v>触发日10-21</x:v>
      </x:c>
      <x:c r="F13" s="22" t="str">
        <x:v>未到触发日，不提醒</x:v>
      </x:c>
      <x:c r="G13" s="22" t="str">
        <x:v>S5-01</x:v>
      </x:c>
      <x:c r="H13" s="22" t="str">
        <x:v>POST /reminder-rules/preview-trigger</x:v>
      </x:c>
      <x:c r="I13" s="22" t="str">
        <x:v>D-05</x:v>
      </x:c>
      <x:c r="J13" s="22" t="str">
        <x:v>未执行</x:v>
      </x:c>
      <x:c r="K13" s="22" t="str">
        <x:v>样例可直接复核</x:v>
      </x:c>
    </x:row>
    <x:row r="14" ht="52" customHeight="1">
      <x:c r="A14" s="22" t="str">
        <x:v>TC-009</x:v>
      </x:c>
      <x:c r="B14" s="22" t="str">
        <x:v>提醒状态</x:v>
      </x:c>
      <x:c r="C14" s="22" t="str">
        <x:v>H031-N014</x:v>
      </x:c>
      <x:c r="D14" s="22" t="str">
        <x:v>触发窗口已开启，状态未生成</x:v>
      </x:c>
      <x:c r="E14" s="22" t="str">
        <x:v>可生成草稿</x:v>
      </x:c>
      <x:c r="F14" s="22" t="str">
        <x:v>需形成唯一业务键防重复</x:v>
      </x:c>
      <x:c r="G14" s="22" t="str">
        <x:v>S5-02</x:v>
      </x:c>
      <x:c r="H14" s="22" t="str">
        <x:v>POST /reminder-jobs/run</x:v>
      </x:c>
      <x:c r="I14" s="22" t="str">
        <x:v>D-05</x:v>
      </x:c>
      <x:c r="J14" s="22" t="str">
        <x:v>未执行</x:v>
      </x:c>
      <x:c r="K14" s="22" t="str">
        <x:v>样例可直接复核</x:v>
      </x:c>
    </x:row>
    <x:row r="15" ht="52" customHeight="1">
      <x:c r="A15" s="22" t="str">
        <x:v>TC-010</x:v>
      </x:c>
      <x:c r="B15" s="22" t="str">
        <x:v>通知审核</x:v>
      </x:c>
      <x:c r="C15" s="22" t="str">
        <x:v>H014-N009</x:v>
      </x:c>
      <x:c r="D15" s="22" t="str">
        <x:v>通知已审核，发送日期为空</x:v>
      </x:c>
      <x:c r="E15" s="22" t="str">
        <x:v>已审核待发送</x:v>
      </x:c>
      <x:c r="F15" s="22" t="str">
        <x:v>不可认定已发送</x:v>
      </x:c>
      <x:c r="G15" s="22" t="str">
        <x:v>S5-03</x:v>
      </x:c>
      <x:c r="H15" s="22" t="str">
        <x:v>POST /notifications/{id}/review</x:v>
      </x:c>
      <x:c r="I15" s="22" t="str">
        <x:v>D-07</x:v>
      </x:c>
      <x:c r="J15" s="22" t="str">
        <x:v>未执行</x:v>
      </x:c>
      <x:c r="K15" s="22" t="str">
        <x:v>样例可直接复核</x:v>
      </x:c>
    </x:row>
    <x:row r="16" ht="52" customHeight="1">
      <x:c r="A16" s="22" t="str">
        <x:v>TC-011</x:v>
      </x:c>
      <x:c r="B16" s="22" t="str">
        <x:v>收付款事实</x:v>
      </x:c>
      <x:c r="C16" s="22" t="str">
        <x:v>FIN-028-01</x:v>
      </x:c>
      <x:c r="D16" s="22" t="str">
        <x:v>计划收款800万元；实际金额与日期均缺失</x:v>
      </x:c>
      <x:c r="E16" s="22" t="str">
        <x:v>未确认实际收款</x:v>
      </x:c>
      <x:c r="F16" s="22" t="str">
        <x:v>严禁记录到账800万元</x:v>
      </x:c>
      <x:c r="G16" s="22" t="str">
        <x:v>S6-01</x:v>
      </x:c>
      <x:c r="H16" s="22" t="str">
        <x:v>GET /projects/{id}/financial-records</x:v>
      </x:c>
      <x:c r="I16" s="22" t="str">
        <x:v>D-10</x:v>
      </x:c>
      <x:c r="J16" s="22" t="str">
        <x:v>未执行</x:v>
      </x:c>
      <x:c r="K16" s="22" t="str">
        <x:v>样例可直接复核</x:v>
      </x:c>
    </x:row>
    <x:row r="17" ht="52" customHeight="1">
      <x:c r="A17" s="22" t="str">
        <x:v>TC-012</x:v>
      </x:c>
      <x:c r="B17" s="22" t="str">
        <x:v>收付款事实</x:v>
      </x:c>
      <x:c r="C17" s="22" t="str">
        <x:v>FIN-031-01</x:v>
      </x:c>
      <x:c r="D17" s="22" t="str">
        <x:v>实际收款400万元、日期及核实均有记录</x:v>
      </x:c>
      <x:c r="E17" s="22" t="str">
        <x:v>已核实实际收款400万元</x:v>
      </x:c>
      <x:c r="F17" s="22" t="str">
        <x:v>只承认经过核实的模拟金额</x:v>
      </x:c>
      <x:c r="G17" s="22" t="str">
        <x:v>S6-01</x:v>
      </x:c>
      <x:c r="H17" s="22" t="str">
        <x:v>POST /financial-actuals/{id}/verify</x:v>
      </x:c>
      <x:c r="I17" s="22" t="str">
        <x:v>D-10</x:v>
      </x:c>
      <x:c r="J17" s="22" t="str">
        <x:v>未执行</x:v>
      </x:c>
      <x:c r="K17" s="22" t="str">
        <x:v>样例可直接复核</x:v>
      </x:c>
    </x:row>
    <x:row r="18" ht="52" customHeight="1">
      <x:c r="A18" s="22" t="str">
        <x:v>TC-013</x:v>
      </x:c>
      <x:c r="B18" s="22" t="str">
        <x:v>Excel导入</x:v>
      </x:c>
      <x:c r="C18" s="22" t="str">
        <x:v>P-H028</x:v>
      </x:c>
      <x:c r="D18" s="22" t="str">
        <x:v>待导入项目编号与台账重复</x:v>
      </x:c>
      <x:c r="E18" s="22" t="str">
        <x:v>校验失败或明确跳过</x:v>
      </x:c>
      <x:c r="F18" s="22" t="str">
        <x:v>不得悄悄覆盖正式数据</x:v>
      </x:c>
      <x:c r="G18" s="22" t="str">
        <x:v>S4-07</x:v>
      </x:c>
      <x:c r="H18" s="22" t="str">
        <x:v>POST /imports/preview</x:v>
      </x:c>
      <x:c r="I18" s="22" t="str">
        <x:v>D-08</x:v>
      </x:c>
      <x:c r="J18" s="22" t="str">
        <x:v>未执行</x:v>
      </x:c>
      <x:c r="K18" s="22" t="str">
        <x:v>需连接真实接口</x:v>
      </x:c>
    </x:row>
    <x:row r="19" ht="52" customHeight="1">
      <x:c r="A19" s="22" t="str">
        <x:v>TC-014</x:v>
      </x:c>
      <x:c r="B19" s="22" t="str">
        <x:v>Excel导入</x:v>
      </x:c>
      <x:c r="C19" s="22" t="str">
        <x:v>新项目编号为空</x:v>
      </x:c>
      <x:c r="D19" s="22" t="str">
        <x:v>关键必填字段缺失</x:v>
      </x:c>
      <x:c r="E19" s="22" t="str">
        <x:v>校验失败</x:v>
      </x:c>
      <x:c r="F19" s="22" t="str">
        <x:v>保留错误行和原因</x:v>
      </x:c>
      <x:c r="G19" s="22" t="str">
        <x:v>S4-07</x:v>
      </x:c>
      <x:c r="H19" s="22" t="str">
        <x:v>POST /imports/preview</x:v>
      </x:c>
      <x:c r="I19" s="22" t="str">
        <x:v>D-08</x:v>
      </x:c>
      <x:c r="J19" s="22" t="str">
        <x:v>未执行</x:v>
      </x:c>
      <x:c r="K19" s="22" t="str">
        <x:v>需连接真实接口</x:v>
      </x:c>
    </x:row>
    <x:row r="20" ht="52" customHeight="1">
      <x:c r="A20" s="22" t="str">
        <x:v>TC-015</x:v>
      </x:c>
      <x:c r="B20" s="22" t="str">
        <x:v>计划变更</x:v>
      </x:c>
      <x:c r="C20" s="22" t="str">
        <x:v>H028-N011</x:v>
      </x:c>
      <x:c r="D20" s="22" t="str">
        <x:v>计划版V2变更为V3，日期改变</x:v>
      </x:c>
      <x:c r="E20" s="22" t="str">
        <x:v>原提醒需失效或复核</x:v>
      </x:c>
      <x:c r="F20" s="22" t="str">
        <x:v>重算提醒，不沿用失效草稿</x:v>
      </x:c>
      <x:c r="G20" s="22" t="str">
        <x:v>S5-02</x:v>
      </x:c>
      <x:c r="H20" s="22" t="str">
        <x:v>POST /plan-versions/{id}/activate</x:v>
      </x:c>
      <x:c r="I20" s="22" t="str">
        <x:v>D-03</x:v>
      </x:c>
      <x:c r="J20" s="22" t="str">
        <x:v>未执行</x:v>
      </x:c>
      <x:c r="K20" s="22" t="str">
        <x:v>需补充场景</x:v>
      </x:c>
    </x:row>
    <x:row r="21" ht="52" customHeight="1">
      <x:c r="A21" s="22" t="str">
        <x:v>TC-016</x:v>
      </x:c>
      <x:c r="B21" s="22" t="str">
        <x:v>节点取消</x:v>
      </x:c>
      <x:c r="C21" s="22" t="str">
        <x:v>任意有效节点</x:v>
      </x:c>
      <x:c r="D21" s="22" t="str">
        <x:v>业务确认节点取消</x:v>
      </x:c>
      <x:c r="E21" s="22" t="str">
        <x:v>不再产生新提醒</x:v>
      </x:c>
      <x:c r="F21" s="22" t="str">
        <x:v>旧待发通知需作废处理</x:v>
      </x:c>
      <x:c r="G21" s="22" t="str">
        <x:v>S5-02</x:v>
      </x:c>
      <x:c r="H21" s="22" t="str">
        <x:v>POST /milestones/{id}/cancel</x:v>
      </x:c>
      <x:c r="I21" s="22" t="str">
        <x:v>D-03</x:v>
      </x:c>
      <x:c r="J21" s="22" t="str">
        <x:v>未执行</x:v>
      </x:c>
      <x:c r="K21" s="22" t="str">
        <x:v>需补充场景</x:v>
      </x:c>
    </x:row>
    <x:row r="22" ht="52" customHeight="1">
      <x:c r="A22" s="22" t="str">
        <x:v>TC-017</x:v>
      </x:c>
      <x:c r="B22" s="22" t="str">
        <x:v>工作日与节假日</x:v>
      </x:c>
      <x:c r="C22" s="22" t="str">
        <x:v>H031-N013</x:v>
      </x:c>
      <x:c r="D22" s="22" t="str">
        <x:v>提前3工作日；节假日表未配置</x:v>
      </x:c>
      <x:c r="E22" s="22" t="str">
        <x:v>仅能演示排除周末</x:v>
      </x:c>
      <x:c r="F22" s="22" t="str">
        <x:v>正式场景补充企业工作日历</x:v>
      </x:c>
      <x:c r="G22" s="22" t="str">
        <x:v>S5-01</x:v>
      </x:c>
      <x:c r="H22" s="22" t="str">
        <x:v>POST /reminder-rules/preview-trigger</x:v>
      </x:c>
      <x:c r="I22" s="22" t="str">
        <x:v>D-06</x:v>
      </x:c>
      <x:c r="J22" s="22" t="str">
        <x:v>未执行</x:v>
      </x:c>
      <x:c r="K22" s="22" t="str">
        <x:v>需补充假日日历</x:v>
      </x:c>
    </x:row>
    <x:row r="23" ht="52" customHeight="1">
      <x:c r="A23" s="22" t="str">
        <x:v>TC-018</x:v>
      </x:c>
      <x:c r="B23" s="22" t="str">
        <x:v>AI事实约束</x:v>
      </x:c>
      <x:c r="C23" s="22" t="str">
        <x:v>P-H028</x:v>
      </x:c>
      <x:c r="D23" s="22" t="str">
        <x:v>引用节点完成/财务计划和状态</x:v>
      </x:c>
      <x:c r="E23" s="22" t="str">
        <x:v>只可引用结构化已核实事实</x:v>
      </x:c>
      <x:c r="F23" s="22" t="str">
        <x:v>不得臆造付款、合同满足或完成率</x:v>
      </x:c>
      <x:c r="G23" s="22" t="str">
        <x:v>S6-04</x:v>
      </x:c>
      <x:c r="H23" s="22" t="str">
        <x:v>POST /projects/{id}/reports/draft</x:v>
      </x:c>
      <x:c r="I23" s="22" t="str">
        <x:v>D-13</x:v>
      </x:c>
      <x:c r="J23" s="22" t="str">
        <x:v>未执行</x:v>
      </x:c>
      <x:c r="K23" s="22" t="str">
        <x:v>需连接模型与人工审核</x:v>
      </x:c>
    </x:row>
  </x:sheetData>
  <x:mergeCells>
    <x:mergeCell ref="A1:K2"/>
    <x:mergeCell ref="A3:K3"/>
  </x:mergeCells>
  <x:dataValidations count="1">
    <x:dataValidation type="list" sqref="J6:J23">
      <x:formula1>"未执行,通过,失败,阻塞"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5599fcb3454aad"/>
  </x:tableParts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19" hidden="0" customWidth="1"/>
    <x:col min="4" max="4" width="19" hidden="0" customWidth="1"/>
    <x:col min="5" max="5" width="13" hidden="0" customWidth="1"/>
    <x:col min="6" max="6" width="17" hidden="0" customWidth="1"/>
    <x:col min="7" max="7" width="43" hidden="0" customWidth="1"/>
    <x:col min="8" max="8" width="22" hidden="0" customWidth="1"/>
    <x:col min="9" max="9" width="18" hidden="0" customWidth="1"/>
    <x:col min="10" max="10" width="16" hidden="0" customWidth="1"/>
  </x:cols>
  <x:sheetData>
    <x:row r="1" ht="22" customHeight="1">
      <x:c r="A1" s="4" t="str">
        <x:v>第一期原计划阶段 · 正式开发与调研期限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8" customHeight="1">
      <x:c r="A3" s="10" t="str">
        <x:v>阶段起止日期沿用原计划书；本表任务数为V0.3建议拆解所得，并不改变原计划。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5" ht="31" customHeight="1">
      <x:c r="A5" s="16" t="str">
        <x:v>阶段</x:v>
      </x:c>
      <x:c r="B5" s="16" t="str">
        <x:v>原计划阶段</x:v>
      </x:c>
      <x:c r="C5" s="16" t="str">
        <x:v>开始日期</x:v>
      </x:c>
      <x:c r="D5" s="16" t="str">
        <x:v>结束日期</x:v>
      </x:c>
      <x:c r="E5" s="16" t="str">
        <x:v>自然日数</x:v>
      </x:c>
      <x:c r="F5" s="16" t="str">
        <x:v>WBS任务数量</x:v>
      </x:c>
      <x:c r="G5" s="16" t="str">
        <x:v>阶段交付结果</x:v>
      </x:c>
      <x:c r="H5" s="16" t="str">
        <x:v>阶段性质</x:v>
      </x:c>
      <x:c r="I5" s="16" t="str">
        <x:v>评审状态</x:v>
      </x:c>
      <x:c r="J5" s="16" t="str">
        <x:v>来源</x:v>
      </x:c>
    </x:row>
    <x:row r="6" ht="45" customHeight="1">
      <x:c r="A6" s="22" t="str">
        <x:v>S1</x:v>
      </x:c>
      <x:c r="B6" s="22" t="str">
        <x:v>业务调研与可行性分析</x:v>
      </x:c>
      <x:c r="C6" s="24" t="n">
        <x:v>46314</x:v>
      </x:c>
      <x:c r="D6" s="24" t="n">
        <x:v>46356</x:v>
      </x:c>
      <x:c r="E6" s="22" t="n">
        <x:f>D6-C6+1</x:f>
        <x:v>43</x:v>
      </x:c>
      <x:c r="F6" s="22" t="n">
        <x:f>COUNTIF('02_开发WBS'!B$6:B$55,A6)</x:f>
        <x:v>7</x:v>
      </x:c>
      <x:c r="G6" s="22" t="str">
        <x:v>调研报告、第一期范围</x:v>
      </x:c>
      <x:c r="H6" s="22" t="str">
        <x:v>非正式编码阶段</x:v>
      </x:c>
      <x:c r="I6" s="22" t="str">
        <x:v>待确认</x:v>
      </x:c>
      <x:c r="J6" s="22" t="str">
        <x:v>原计划书§六</x:v>
      </x:c>
    </x:row>
    <x:row r="7" ht="45" customHeight="1">
      <x:c r="A7" s="22" t="str">
        <x:v>S2</x:v>
      </x:c>
      <x:c r="B7" s="22" t="str">
        <x:v>资料及标准动作整理</x:v>
      </x:c>
      <x:c r="C7" s="24" t="n">
        <x:v>46357</x:v>
      </x:c>
      <x:c r="D7" s="24" t="n">
        <x:v>46444</x:v>
      </x:c>
      <x:c r="E7" s="22" t="n">
        <x:f>D7-C7+1</x:f>
        <x:v>88</x:v>
      </x:c>
      <x:c r="F7" s="22" t="n">
        <x:f>COUNTIF('02_开发WBS'!B$6:B$55,A7)</x:f>
        <x:v>8</x:v>
      </x:c>
      <x:c r="G7" s="22" t="str">
        <x:v>项目样例、节点清单、动作模板</x:v>
      </x:c>
      <x:c r="H7" s="22" t="str">
        <x:v>非正式编码阶段</x:v>
      </x:c>
      <x:c r="I7" s="22" t="str">
        <x:v>待确认</x:v>
      </x:c>
      <x:c r="J7" s="22" t="str">
        <x:v>原计划书§六</x:v>
      </x:c>
    </x:row>
    <x:row r="8" ht="45" customHeight="1">
      <x:c r="A8" s="22" t="str">
        <x:v>S3</x:v>
      </x:c>
      <x:c r="B8" s="22" t="str">
        <x:v>需求与技术方案设计</x:v>
      </x:c>
      <x:c r="C8" s="24" t="n">
        <x:v>46447</x:v>
      </x:c>
      <x:c r="D8" s="24" t="n">
        <x:v>46477</x:v>
      </x:c>
      <x:c r="E8" s="22" t="n">
        <x:f>D8-C8+1</x:f>
        <x:v>31</x:v>
      </x:c>
      <x:c r="F8" s="22" t="n">
        <x:f>COUNTIF('02_开发WBS'!B$6:B$55,A8)</x:f>
        <x:v>8</x:v>
      </x:c>
      <x:c r="G8" s="22" t="str">
        <x:v>规则基线、指标口径、技术方案</x:v>
      </x:c>
      <x:c r="H8" s="22" t="str">
        <x:v>非正式编码阶段</x:v>
      </x:c>
      <x:c r="I8" s="22" t="str">
        <x:v>待确认</x:v>
      </x:c>
      <x:c r="J8" s="22" t="str">
        <x:v>原计划书§六</x:v>
      </x:c>
    </x:row>
    <x:row r="9" ht="45" customHeight="1">
      <x:c r="A9" s="22" t="str">
        <x:v>S4</x:v>
      </x:c>
      <x:c r="B9" s="22" t="str">
        <x:v>节点及动作模板开发</x:v>
      </x:c>
      <x:c r="C9" s="24" t="n">
        <x:v>46478</x:v>
      </x:c>
      <x:c r="D9" s="24" t="n">
        <x:v>46500</x:v>
      </x:c>
      <x:c r="E9" s="22" t="n">
        <x:f>D9-C9+1</x:f>
        <x:v>23</x:v>
      </x:c>
      <x:c r="F9" s="22" t="n">
        <x:f>COUNTIF('02_开发WBS'!B$6:B$55,A9)</x:f>
        <x:v>9</x:v>
      </x:c>
      <x:c r="G9" s="22" t="str">
        <x:v>项目、版本、节点、动作的可运行模块</x:v>
      </x:c>
      <x:c r="H9" s="22" t="str">
        <x:v>正式编码阶段</x:v>
      </x:c>
      <x:c r="I9" s="22" t="str">
        <x:v>待确认</x:v>
      </x:c>
      <x:c r="J9" s="22" t="str">
        <x:v>原计划书§六</x:v>
      </x:c>
    </x:row>
    <x:row r="10" ht="45" customHeight="1">
      <x:c r="A10" s="22" t="str">
        <x:v>S5</x:v>
      </x:c>
      <x:c r="B10" s="22" t="str">
        <x:v>提醒通知与工作安排开发</x:v>
      </x:c>
      <x:c r="C10" s="24" t="n">
        <x:v>46503</x:v>
      </x:c>
      <x:c r="D10" s="24" t="n">
        <x:v>46521</x:v>
      </x:c>
      <x:c r="E10" s="22" t="n">
        <x:f>D10-C10+1</x:f>
        <x:v>19</x:v>
      </x:c>
      <x:c r="F10" s="22" t="n">
        <x:f>COUNTIF('02_开发WBS'!B$6:B$55,A10)</x:f>
        <x:v>6</x:v>
      </x:c>
      <x:c r="G10" s="22" t="str">
        <x:v>提醒、审核、待办、反馈</x:v>
      </x:c>
      <x:c r="H10" s="22" t="str">
        <x:v>正式编码阶段</x:v>
      </x:c>
      <x:c r="I10" s="22" t="str">
        <x:v>待确认</x:v>
      </x:c>
      <x:c r="J10" s="22" t="str">
        <x:v>原计划书§六</x:v>
      </x:c>
    </x:row>
    <x:row r="11" ht="45" customHeight="1">
      <x:c r="A11" s="22" t="str">
        <x:v>S6</x:v>
      </x:c>
      <x:c r="B11" s="22" t="str">
        <x:v>量化评估与AI报告开发</x:v>
      </x:c>
      <x:c r="C11" s="24" t="n">
        <x:v>46524</x:v>
      </x:c>
      <x:c r="D11" s="24" t="n">
        <x:v>46538</x:v>
      </x:c>
      <x:c r="E11" s="22" t="n">
        <x:f>D11-C11+1</x:f>
        <x:v>15</x:v>
      </x:c>
      <x:c r="F11" s="22" t="n">
        <x:f>COUNTIF('02_开发WBS'!B$6:B$55,A11)</x:f>
        <x:v>6</x:v>
      </x:c>
      <x:c r="G11" s="22" t="str">
        <x:v>指标计算、评价报告</x:v>
      </x:c>
      <x:c r="H11" s="22" t="str">
        <x:v>正式编码阶段</x:v>
      </x:c>
      <x:c r="I11" s="22" t="str">
        <x:v>待确认</x:v>
      </x:c>
      <x:c r="J11" s="22" t="str">
        <x:v>原计划书§六</x:v>
      </x:c>
    </x:row>
    <x:row r="12" ht="45" customHeight="1">
      <x:c r="A12" s="22" t="str">
        <x:v>S7</x:v>
      </x:c>
      <x:c r="B12" s="22" t="str">
        <x:v>测试整改与业务试用</x:v>
      </x:c>
      <x:c r="C12" s="24" t="n">
        <x:v>46539</x:v>
      </x:c>
      <x:c r="D12" s="24" t="n">
        <x:v>46568</x:v>
      </x:c>
      <x:c r="E12" s="22" t="n">
        <x:f>D12-C12+1</x:f>
        <x:v>30</x:v>
      </x:c>
      <x:c r="F12" s="22" t="n">
        <x:f>COUNTIF('02_开发WBS'!B$6:B$55,A12)</x:f>
        <x:v>6</x:v>
      </x:c>
      <x:c r="G12" s="22" t="str">
        <x:v>测试记录、试用版本、整改与验收材料</x:v>
      </x:c>
      <x:c r="H12" s="22" t="str">
        <x:v>非正式编码阶段</x:v>
      </x:c>
      <x:c r="I12" s="22" t="str">
        <x:v>待确认</x:v>
      </x:c>
      <x:c r="J12" s="22" t="str">
        <x:v>原计划书§六</x:v>
      </x:c>
    </x:row>
  </x:sheetData>
  <x:mergeCells>
    <x:mergeCell ref="A1:J2"/>
    <x:mergeCell ref="A3:J3"/>
  </x:mergeCells>
  <x:dataValidations count="1">
    <x:dataValidation type="list" sqref="I6:I12">
      <x:formula1>"待确认,评审中,已确认"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60a9c2f63447b8"/>
  </x:tableParts>
</x:worksheet>
</file>