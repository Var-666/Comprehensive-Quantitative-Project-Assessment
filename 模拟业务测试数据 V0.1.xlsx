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0033110f5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7405f75738c54053"/>
    <x:sheet xmlns:r="http://schemas.openxmlformats.org/officeDocument/2006/relationships" name="01_项目台账" sheetId="2" r:id="R4cec84c287a64296"/>
    <x:sheet xmlns:r="http://schemas.openxmlformats.org/officeDocument/2006/relationships" name="02_节点计划" sheetId="3" r:id="Redc6e948f3f5496d"/>
    <x:sheet xmlns:r="http://schemas.openxmlformats.org/officeDocument/2006/relationships" name="03_标准动作" sheetId="4" r:id="R0cca0dca31264c09"/>
    <x:sheet xmlns:r="http://schemas.openxmlformats.org/officeDocument/2006/relationships" name="04_任务与通知" sheetId="5" r:id="R2d3853d24ccc47dc"/>
    <x:sheet xmlns:r="http://schemas.openxmlformats.org/officeDocument/2006/relationships" name="05_预期评价结果" sheetId="6" r:id="Ree5dd18b717a4985"/>
    <x:sheet xmlns:r="http://schemas.openxmlformats.org/officeDocument/2006/relationships" name="06_收付款计划实际" sheetId="7" r:id="R715667d6e8504088"/>
    <x:sheet xmlns:r="http://schemas.openxmlformats.org/officeDocument/2006/relationships" name="07_测试用例与规则" sheetId="8" r:id="Raad4e19c0674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60738F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72338"/>
      <x:name val="Carlito"/>
    </x:font>
    <x:font>
      <x:sz val="10"/>
      <x:color rgb="FF3269D2"/>
      <x:name val="Carlito"/>
    </x:font>
    <x:font>
      <x:sz val="10"/>
      <x:color rgb="FFA96518"/>
      <x:name val="Carlito"/>
    </x:font>
    <x:font>
      <x:sz val="10"/>
      <x:color rgb="FF1723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338"/>
      </x:patternFill>
    </x:fill>
    <x:fill>
      <x:patternFill patternType="solid">
        <x:fgColor rgb="FFEEF4FC"/>
      </x:patternFill>
    </x:fill>
    <x:fill>
      <x:patternFill patternType="solid">
        <x:fgColor rgb="FF3269D2"/>
      </x:patternFill>
    </x:fill>
    <x:fill>
      <x:patternFill patternType="solid">
        <x:fgColor rgb="FFFFF4DE"/>
      </x:patternFill>
    </x:fill>
    <x:fill>
      <x:patternFill patternType="solid">
        <x:fgColor rgb="FFFFFFFF"/>
      </x:patternFill>
    </x:fill>
    <x:fill>
      <x:patternFill patternType="solid">
        <x:fgColor rgb="FFF5F8FC"/>
      </x:patternFill>
    </x:fill>
    <x:fill>
      <x:patternFill patternType="solid">
        <x:fgColor rgb="FFEDF4FE"/>
      </x:patternFill>
    </x:fill>
    <x:fill>
      <x:patternFill patternType="solid">
        <x:fgColor rgb="FFF7FAFF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9" fillId="6" borderId="0" xfId="0" applyNumberFormat="1" applyFont="1" applyFill="1" applyBorder="1"/>
    <x:xf numFmtId="20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200" fontId="9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9" fillId="6" borderId="1" xfId="0" applyNumberFormat="1" applyFont="1" applyFill="1" applyBorder="1"/>
    <x:xf numFmtId="20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200" fontId="9" fillId="7" borderId="1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/>
    <x:xf numFmtId="201" fontId="9" fillId="6" borderId="0" xfId="0" applyNumberFormat="1" applyFont="1" applyFill="1" applyBorder="1"/>
    <x:xf numFmtId="201" fontId="9" fillId="6" borderId="0" xfId="0" applyNumberFormat="1" applyFont="1" applyFill="1" applyBorder="1" applyAlignment="1">
      <x:alignment wrapText="1"/>
    </x:xf>
    <x:xf numFmtId="201" fontId="9" fillId="6" borderId="0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/>
    <x:xf numFmtId="201" fontId="9" fillId="6" borderId="1" xfId="0" applyNumberFormat="1" applyFont="1" applyFill="1" applyBorder="1"/>
    <x:xf numFmtId="201" fontId="9" fillId="6" borderId="1" xfId="0" applyNumberFormat="1" applyFont="1" applyFill="1" applyBorder="1" applyAlignment="1">
      <x:alignment wrapText="1"/>
    </x:xf>
    <x:xf numFmtId="201" fontId="9" fillId="6" borderId="1" xfId="0" applyNumberFormat="1" applyFont="1" applyFill="1" applyBorder="1" applyAlignment="1">
      <x:alignment vertical="center" wrapText="1"/>
    </x:xf>
    <x:xf numFmtId="201" fontId="9" fillId="7" borderId="0" xfId="0" applyNumberFormat="1" applyFont="1" applyFill="1" applyBorder="1" applyAlignment="1">
      <x:alignment vertical="center" wrapText="1"/>
    </x:xf>
    <x:xf numFmtId="201" fontId="9" fillId="7" borderId="1" xfId="0" applyNumberFormat="1" applyFont="1" applyFill="1" applyBorder="1" applyAlignment="1">
      <x:alignment vertical="center" wrapText="1"/>
    </x:xf>
    <x:xf numFmtId="202" fontId="0" fillId="6" borderId="0" xfId="0" applyNumberFormat="1" applyFont="1" applyFill="1" applyBorder="1"/>
    <x:xf numFmtId="202" fontId="9" fillId="6" borderId="0" xfId="0" applyNumberFormat="1" applyFont="1" applyFill="1" applyBorder="1"/>
    <x:xf numFmtId="202" fontId="9" fillId="6" borderId="0" xfId="0" applyNumberFormat="1" applyFont="1" applyFill="1" applyBorder="1" applyAlignment="1">
      <x:alignment wrapText="1"/>
    </x:xf>
    <x:xf numFmtId="202" fontId="9" fillId="6" borderId="0" xfId="0" applyNumberFormat="1" applyFont="1" applyFill="1" applyBorder="1" applyAlignment="1">
      <x:alignment vertical="center" wrapText="1"/>
    </x:xf>
    <x:xf numFmtId="202" fontId="0" fillId="6" borderId="1" xfId="0" applyNumberFormat="1" applyFont="1" applyFill="1" applyBorder="1"/>
    <x:xf numFmtId="202" fontId="9" fillId="6" borderId="1" xfId="0" applyNumberFormat="1" applyFont="1" applyFill="1" applyBorder="1"/>
    <x:xf numFmtId="202" fontId="9" fillId="6" borderId="1" xfId="0" applyNumberFormat="1" applyFont="1" applyFill="1" applyBorder="1" applyAlignment="1">
      <x:alignment wrapText="1"/>
    </x:xf>
    <x:xf numFmtId="202" fontId="9" fillId="6" borderId="1" xfId="0" applyNumberFormat="1" applyFont="1" applyFill="1" applyBorder="1" applyAlignment="1">
      <x:alignment vertical="center" wrapText="1"/>
    </x:xf>
    <x:xf numFmtId="202" fontId="9" fillId="7" borderId="0" xfId="0" applyNumberFormat="1" applyFont="1" applyFill="1" applyBorder="1" applyAlignment="1">
      <x:alignment vertical="center" wrapText="1"/>
    </x:xf>
    <x:xf numFmtId="202" fontId="9" fillId="7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200" fontId="9" fillId="8" borderId="0" xfId="0" applyNumberFormat="1" applyFont="1" applyFill="1" applyBorder="1" applyAlignment="1">
      <x:alignment vertical="center" wrapText="1"/>
    </x:xf>
    <x:xf numFmtId="200" fontId="9" fillId="8" borderId="1" xfId="0" applyNumberFormat="1" applyFont="1" applyFill="1" applyBorder="1" applyAlignment="1">
      <x:alignment vertical="center" wrapText="1"/>
    </x:xf>
    <x:xf numFmtId="201" fontId="9" fillId="8" borderId="0" xfId="0" applyNumberFormat="1" applyFont="1" applyFill="1" applyBorder="1" applyAlignment="1">
      <x:alignment vertical="center" wrapText="1"/>
    </x:xf>
    <x:xf numFmtId="201" fontId="9" fillId="8" borderId="1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vertical="center" wrapText="1"/>
    </x:xf>
    <x:xf numFmtId="201" fontId="9" fillId="9" borderId="1" xfId="0" applyNumberFormat="1" applyFont="1" applyFill="1" applyBorder="1" applyAlignment="1">
      <x:alignment vertical="center" wrapText="1"/>
    </x:xf>
    <x:xf numFmtId="202" fontId="9" fillId="8" borderId="0" xfId="0" applyNumberFormat="1" applyFont="1" applyFill="1" applyBorder="1" applyAlignment="1">
      <x:alignment vertical="center" wrapText="1"/>
    </x:xf>
    <x:xf numFmtId="202" fontId="9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C94E55"/>
      </x:font>
      <x:fill>
        <x:patternFill patternType="solid">
          <x:bgColor rgb="FFFDEDF0"/>
        </x:patternFill>
      </x:fill>
    </x:dxf>
    <x:dxf>
      <x:font>
        <x:color rgb="FFA96518"/>
      </x:font>
      <x:fill>
        <x:patternFill patternType="solid">
          <x:bgColor rgb="FFFFF4DE"/>
        </x:patternFill>
      </x:fill>
    </x:dxf>
    <x:dxf>
      <x:font>
        <x:color rgb="FF26816A"/>
      </x:font>
      <x:fill>
        <x:patternFill patternType="solid">
          <x:bgColor rgb="FFE6F4EE"/>
        </x:patternFill>
      </x:fill>
    </x:dxf>
    <x:dxf>
      <x:font>
        <x:color rgb="FF26816A"/>
      </x:font>
      <x:fill>
        <x:patternFill patternType="solid">
          <x:bgColor rgb="FFE6F4EE"/>
        </x:patternFill>
      </x:fill>
    </x:dxf>
    <x:dxf>
      <x:font>
        <x:color rgb="FF26816A"/>
      </x:font>
      <x:fill>
        <x:patternFill patternType="solid">
          <x:bgColor rgb="FFE6F4EE"/>
        </x:patternFill>
      </x:fill>
    </x:dxf>
    <x:dxf>
      <x:font>
        <x:color rgb="FFA96518"/>
      </x:font>
      <x:fill>
        <x:patternFill patternType="solid"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25e03797a4926" /><Relationship Type="http://schemas.openxmlformats.org/officeDocument/2006/relationships/theme" Target="/xl/theme/theme1.xml" Id="R02fd3f86c6bc4594" /><Relationship Type="http://schemas.openxmlformats.org/officeDocument/2006/relationships/sharedStrings" Target="/xl/sharedStrings.xml" Id="R418396b343d84a58" /><Relationship Type="http://schemas.openxmlformats.org/officeDocument/2006/relationships/worksheet" Target="/xl/worksheets/sheet1.xml" Id="R7405f75738c54053" /><Relationship Type="http://schemas.openxmlformats.org/officeDocument/2006/relationships/worksheet" Target="/xl/worksheets/sheet2.xml" Id="R4cec84c287a64296" /><Relationship Type="http://schemas.openxmlformats.org/officeDocument/2006/relationships/worksheet" Target="/xl/worksheets/sheet3.xml" Id="Redc6e948f3f5496d" /><Relationship Type="http://schemas.openxmlformats.org/officeDocument/2006/relationships/worksheet" Target="/xl/worksheets/sheet4.xml" Id="R0cca0dca31264c09" /><Relationship Type="http://schemas.openxmlformats.org/officeDocument/2006/relationships/worksheet" Target="/xl/worksheets/sheet5.xml" Id="R2d3853d24ccc47dc" /><Relationship Type="http://schemas.openxmlformats.org/officeDocument/2006/relationships/worksheet" Target="/xl/worksheets/sheet6.xml" Id="Ree5dd18b717a4985" /><Relationship Type="http://schemas.openxmlformats.org/officeDocument/2006/relationships/worksheet" Target="/xl/worksheets/sheet7.xml" Id="R715667d6e8504088" /><Relationship Type="http://schemas.openxmlformats.org/officeDocument/2006/relationships/worksheet" Target="/xl/worksheets/sheet8.xml" Id="Raad4e19c06744770" /></Relationships>
</file>

<file path=xl/tables/table1.xml><?xml version="1.0" encoding="utf-8"?>
<x:table xmlns:x="http://schemas.openxmlformats.org/spreadsheetml/2006/main" id="1" name="SimProjectLedger" displayName="SimProjectLedger" ref="A6:L9" headerRowCount="1" totalsRowCount="0" totalsRowShown="0">
  <x:tableColumns count="12">
    <x:tableColumn id="1" name="项目编号"/>
    <x:tableColumn id="2" name="项目名称"/>
    <x:tableColumn id="3" name="项目类型"/>
    <x:tableColumn id="4" name="项目负责人"/>
    <x:tableColumn id="5" name="责任部门"/>
    <x:tableColumn id="6" name="项目状态"/>
    <x:tableColumn id="7" name="计划开始"/>
    <x:tableColumn id="8" name="计划结束"/>
    <x:tableColumn id="9" name="当前计划版本"/>
    <x:tableColumn id="10" name="节点数量（公式）"/>
    <x:tableColumn id="11" name="到期节点（公式）"/>
    <x:tableColumn id="12" name="数据属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Milestones" displayName="SimMilestones" ref="A6:R73" headerRowCount="1" totalsRowCount="0" totalsRowShown="0">
  <x:tableColumns count="18">
    <x:tableColumn id="1" name="项目编号"/>
    <x:tableColumn id="2" name="节点编号"/>
    <x:tableColumn id="3" name="节点名称"/>
    <x:tableColumn id="4" name="节点类型"/>
    <x:tableColumn id="5" name="计划版本"/>
    <x:tableColumn id="6" name="计划完成日期"/>
    <x:tableColumn id="7" name="实际完成日期"/>
    <x:tableColumn id="8" name="核实状态"/>
    <x:tableColumn id="9" name="节点效力"/>
    <x:tableColumn id="10" name="责任部门"/>
    <x:tableColumn id="11" name="责任人"/>
    <x:tableColumn id="12" name="日期依据"/>
    <x:tableColumn id="13" name="计算状态（公式）"/>
    <x:tableColumn id="14" name="偏差天数（公式）"/>
    <x:tableColumn id="15" name="是否到期（公式）"/>
    <x:tableColumn id="16" name="提醒规则编号"/>
    <x:tableColumn id="17" name="说明"/>
    <x:tableColumn id="18" name="来源属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mStandardActions" displayName="SimStandardActions" ref="A6:L30" headerRowCount="1" totalsRowCount="0" totalsRowShown="0">
  <x:tableColumns count="12">
    <x:tableColumn id="1" name="标准动作编号"/>
    <x:tableColumn id="2" name="关联节点类型"/>
    <x:tableColumn id="3" name="动作序号"/>
    <x:tableColumn id="4" name="标准动作内容"/>
    <x:tableColumn id="5" name="需准备的文件材料"/>
    <x:tableColumn id="6" name="默认责任部门"/>
    <x:tableColumn id="7" name="提前天数"/>
    <x:tableColumn id="8" name="日历口径"/>
    <x:tableColumn id="9" name="适用条件"/>
    <x:tableColumn id="10" name="业务确认状态"/>
    <x:tableColumn id="11" name="提醒规则编号"/>
    <x:tableColumn id="12" name="数据属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mReminderTasks" displayName="SimReminderTasks" ref="A6:S17" headerRowCount="1" totalsRowCount="0" totalsRowShown="0">
  <x:tableColumns count="19">
    <x:tableColumn id="1" name="通知编号"/>
    <x:tableColumn id="2" name="项目编号"/>
    <x:tableColumn id="3" name="关联节点"/>
    <x:tableColumn id="4" name="节点计划日期"/>
    <x:tableColumn id="5" name="提前天数"/>
    <x:tableColumn id="6" name="提醒日历口径"/>
    <x:tableColumn id="7" name="计算触发日（公式）"/>
    <x:tableColumn id="8" name="模拟运行日期"/>
    <x:tableColumn id="9" name="触发判断（公式）"/>
    <x:tableColumn id="10" name="关联标准动作"/>
    <x:tableColumn id="11" name="接收对象"/>
    <x:tableColumn id="12" name="通知状态"/>
    <x:tableColumn id="13" name="任务状态"/>
    <x:tableColumn id="14" name="反馈时间"/>
    <x:tableColumn id="15" name="反馈核实状态"/>
    <x:tableColumn id="16" name="实际发送时间"/>
    <x:tableColumn id="17" name="发送认定（公式）"/>
    <x:tableColumn id="18" name="异常/说明"/>
    <x:tableColumn id="19" name="规则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mEvaluationResults" displayName="SimEvaluationResults" ref="A6:K10" headerRowCount="1" totalsRowCount="0" totalsRowShown="0">
  <x:tableColumns count="11">
    <x:tableColumn id="1" name="项目编号"/>
    <x:tableColumn id="2" name="项目节点总数"/>
    <x:tableColumn id="3" name="到期节点数"/>
    <x:tableColumn id="4" name="按期完成数"/>
    <x:tableColumn id="5" name="延期完成数"/>
    <x:tableColumn id="6" name="待核对数"/>
    <x:tableColumn id="7" name="核实分母"/>
    <x:tableColumn id="8" name="计算按期率"/>
    <x:tableColumn id="9" name="预期按期率"/>
    <x:tableColumn id="10" name="公式比对结果"/>
    <x:tableColumn id="11" name="指标口径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imFinancialFacts" displayName="SimFinancialFacts" ref="A6:N12" headerRowCount="1" totalsRowCount="0" totalsRowShown="0">
  <x:tableColumns count="14">
    <x:tableColumn id="1" name="项目编号"/>
    <x:tableColumn id="2" name="财务事件编号"/>
    <x:tableColumn id="3" name="事项类型"/>
    <x:tableColumn id="4" name="关联节点"/>
    <x:tableColumn id="5" name="日期来源"/>
    <x:tableColumn id="6" name="计划日期"/>
    <x:tableColumn id="7" name="计划金额（元）"/>
    <x:tableColumn id="8" name="实际日期（核实后）"/>
    <x:tableColumn id="9" name="实际金额（元）"/>
    <x:tableColumn id="10" name="财务核实状态"/>
    <x:tableColumn id="11" name="计算确认金额（公式）"/>
    <x:tableColumn id="12" name="资金事实判定（公式）"/>
    <x:tableColumn id="13" name="业务说明"/>
    <x:tableColumn id="14" name="数据属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imTestCases" displayName="SimTestCases" ref="A6:J24" headerRowCount="1" totalsRowCount="0" totalsRowShown="0">
  <x:tableColumns count="10">
    <x:tableColumn id="1" name="用例编号"/>
    <x:tableColumn id="2" name="测试类别"/>
    <x:tableColumn id="3" name="关联业务对象"/>
    <x:tableColumn id="4" name="模拟输入或触发条件"/>
    <x:tableColumn id="5" name="预期状态/结果"/>
    <x:tableColumn id="6" name="预期断言及原因"/>
    <x:tableColumn id="7" name="对应数据/原型"/>
    <x:tableColumn id="8" name="校验条件"/>
    <x:tableColumn id="9" name="执行结果"/>
    <x:tableColumn id="10" name="覆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94babd4dc4e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1144a6f71b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46f53b651347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598169cc7042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fc5573796c45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bf550644ba46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4317a515384b5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4" hidden="0" customWidth="1"/>
    <x:col min="4" max="4" width="26" hidden="0" customWidth="1"/>
    <x:col min="5" max="5" width="27" hidden="0" customWidth="1"/>
    <x:col min="6" max="6" width="27" hidden="0" customWidth="1"/>
    <x:col min="7" max="7" width="26" hidden="0" customWidth="1"/>
    <x:col min="8" max="8" width="29" hidden="0" customWidth="1"/>
  </x:cols>
  <x:sheetData>
    <x:row r="1" ht="26" customHeight="1">
      <x:c r="A1" s="29" t="str">
        <x:v>项目总体量化评估智能体（第一期）｜模拟业务测试数据 V0.1</x:v>
      </x:c>
      <x:c r="B1" s="29"/>
      <x:c r="C1" s="29"/>
      <x:c r="D1" s="29"/>
      <x:c r="E1" s="29"/>
      <x:c r="F1" s="29"/>
      <x:c r="G1" s="29"/>
      <x:c r="H1" s="29"/>
    </x:row>
    <x:row r="2" ht="26" customHeight="1">
      <x:c r="A2" s="29"/>
      <x:c r="B2" s="29"/>
      <x:c r="C2" s="29"/>
      <x:c r="D2" s="29"/>
      <x:c r="E2" s="29"/>
      <x:c r="F2" s="29"/>
      <x:c r="G2" s="29"/>
      <x:c r="H2" s="29"/>
    </x:row>
    <x:row r="3" ht="33" customHeight="1">
      <x:c r="A3" s="9" t="str">
        <x:v>三份虚构项目：节点计划、动作模板、提醒通知、收付款与自动量化核验。仅用于原型评审、规则测试和后续开发，不包含真实企业数据。</x:v>
      </x:c>
      <x:c r="B3" s="9"/>
      <x:c r="C3" s="9"/>
      <x:c r="D3" s="9"/>
      <x:c r="E3" s="9"/>
      <x:c r="F3" s="9"/>
      <x:c r="G3" s="9"/>
      <x:c r="H3" s="9"/>
    </x:row>
    <x:row r="6" ht="31" customHeight="1">
      <x:c r="A6" s="32" t="str">
        <x:v>关键参数</x:v>
      </x:c>
      <x:c r="B6" s="32" t="str">
        <x:v>当前模拟值</x:v>
      </x:c>
    </x:row>
    <x:row r="7">
      <x:c r="A7" t="str">
        <x:v>数据属性</x:v>
      </x:c>
      <x:c r="B7" t="str">
        <x:v>全部为模拟</x:v>
      </x:c>
    </x:row>
    <x:row r="8">
      <x:c r="A8" t="str">
        <x:v>模拟运行/统计日期</x:v>
      </x:c>
      <x:c r="B8" s="22" t="n">
        <x:v>46314</x:v>
      </x:c>
    </x:row>
    <x:row r="9">
      <x:c r="A9" t="str">
        <x:v>版本与规则状态</x:v>
      </x:c>
      <x:c r="B9" t="str">
        <x:v>V0.1 / 待业务确认</x:v>
      </x:c>
    </x:row>
    <x:row r="12" ht="30" customHeight="1">
      <x:c r="A12" s="32" t="str">
        <x:v>项目数据快照（自动引用 05_预期评价结果）</x:v>
      </x:c>
      <x:c r="B12" s="32"/>
      <x:c r="C12" s="32"/>
      <x:c r="D12" s="32"/>
      <x:c r="E12" s="32"/>
      <x:c r="F12" s="32"/>
      <x:c r="G12" s="32"/>
      <x:c r="H12" s="32"/>
    </x:row>
    <x:row r="14" ht="27" customHeight="1">
      <x:c r="A14" s="34" t="str">
        <x:v>指标</x:v>
      </x:c>
      <x:c r="B14" s="34" t="str">
        <x:v>复算结果</x:v>
      </x:c>
      <x:c r="D14" s="34" t="str">
        <x:v>指标</x:v>
      </x:c>
      <x:c r="E14" s="34" t="str">
        <x:v>复算结果</x:v>
      </x:c>
      <x:c r="G14" s="34" t="str">
        <x:v>说明</x:v>
      </x:c>
      <x:c r="H14" s="34" t="str">
        <x:v>取值</x:v>
      </x:c>
    </x:row>
    <x:row r="15">
      <x:c r="A15" t="str">
        <x:v>虚构项目数</x:v>
      </x:c>
      <x:c r="B15" t="n">
        <x:f>COUNTA('01_项目台账'!A7:A9)</x:f>
        <x:v>3</x:v>
      </x:c>
      <x:c r="D15" t="str">
        <x:v>到期按期完成</x:v>
      </x:c>
      <x:c r="E15" t="n">
        <x:f>'05_预期评价结果'!D10</x:f>
        <x:v>30</x:v>
      </x:c>
      <x:c r="G15" t="str">
        <x:v>计划节点数</x:v>
      </x:c>
      <x:c r="H15" t="n">
        <x:f>'05_预期评价结果'!B10</x:f>
        <x:v>67</x:v>
      </x:c>
    </x:row>
    <x:row r="16">
      <x:c r="A16" t="str">
        <x:v>到期节点总数</x:v>
      </x:c>
      <x:c r="B16" t="n">
        <x:f>'05_预期评价结果'!C10</x:f>
        <x:v>36</x:v>
      </x:c>
      <x:c r="D16" t="str">
        <x:v>到期延期完成</x:v>
      </x:c>
      <x:c r="E16" t="n">
        <x:f>'05_预期评价结果'!E10</x:f>
        <x:v>4</x:v>
      </x:c>
      <x:c r="G16" t="str">
        <x:v>示例实际收款</x:v>
      </x:c>
      <x:c r="H16" s="26" t="n">
        <x:f>SUM('06_收付款计划实际'!K7:K12)</x:f>
        <x:v>4000000</x:v>
      </x:c>
    </x:row>
    <x:row r="17">
      <x:c r="A17" t="str">
        <x:v>按期完成率</x:v>
      </x:c>
      <x:c r="B17" s="24" t="n">
        <x:f>'05_预期评价结果'!H10</x:f>
        <x:v>0.8823529411764706</x:v>
      </x:c>
      <x:c r="D17" t="str">
        <x:v>到期待核对</x:v>
      </x:c>
      <x:c r="E17" t="n">
        <x:f>'05_预期评价结果'!F10</x:f>
        <x:v>2</x:v>
      </x:c>
      <x:c r="G17" t="str">
        <x:v>财务计划独立</x:v>
      </x:c>
      <x:c r="H17" t="str">
        <x:v>是</x:v>
      </x:c>
    </x:row>
    <x:row r="20" ht="30" customHeight="1">
      <x:c r="A20" s="32" t="str">
        <x:v>工作表导航与使用方法</x:v>
      </x:c>
      <x:c r="B20" s="32"/>
      <x:c r="C20" s="32"/>
      <x:c r="D20" s="32"/>
      <x:c r="E20" s="32"/>
      <x:c r="F20" s="32"/>
      <x:c r="G20" s="32"/>
      <x:c r="H20" s="32"/>
    </x:row>
    <x:row r="22">
      <x:c r="A22" t="str">
        <x:v>01_项目台账</x:v>
      </x:c>
      <x:c r="B22" t="str">
        <x:v>基础资料</x:v>
      </x:c>
      <x:c r="C22" t="str">
        <x:v>3个项目，项目编号、负责人、计划版本、节点数量公式</x:v>
      </x:c>
    </x:row>
    <x:row r="23">
      <x:c r="A23" t="str">
        <x:v>02_节点计划</x:v>
      </x:c>
      <x:c r="B23" t="str">
        <x:v>计划/公式</x:v>
      </x:c>
      <x:c r="C23" t="str">
        <x:v>67条项目节点，日期、核实状态和进度由公式自动判断；可编辑蓝色列数据</x:v>
      </x:c>
    </x:row>
    <x:row r="24">
      <x:c r="A24" t="str">
        <x:v>03_标准动作</x:v>
      </x:c>
      <x:c r="B24" t="str">
        <x:v>模板/规则</x:v>
      </x:c>
      <x:c r="C24" t="str">
        <x:v>11类节点、24条动作，提醒天数与工作日/自然日规则；均待业务确认</x:v>
      </x:c>
    </x:row>
    <x:row r="25">
      <x:c r="A25" t="str">
        <x:v>04_任务与通知</x:v>
      </x:c>
      <x:c r="B25" t="str">
        <x:v>通知/反馈</x:v>
      </x:c>
      <x:c r="C25" t="str">
        <x:v>11条样例提醒，自动计算触发时间，区分草稿、待发、失效与重复</x:v>
      </x:c>
    </x:row>
    <x:row r="26">
      <x:c r="A26" t="str">
        <x:v>05_预期评价结果</x:v>
      </x:c>
      <x:c r="B26" t="str">
        <x:v>评价/公式</x:v>
      </x:c>
      <x:c r="C26" t="str">
        <x:v>3个项目的公式评价、人工预期值对照及合计；30/34=88.2%</x:v>
      </x:c>
    </x:row>
    <x:row r="27">
      <x:c r="A27" t="str">
        <x:v>06_收付款计划实际</x:v>
      </x:c>
      <x:c r="B27" t="str">
        <x:v>财务数据</x:v>
      </x:c>
      <x:c r="C27" t="str">
        <x:v>计划收付与已核实实际严格分开，所有金额均为虚构</x:v>
      </x:c>
    </x:row>
    <x:row r="28">
      <x:c r="A28" t="str">
        <x:v>07_测试用例与规则</x:v>
      </x:c>
      <x:c r="B28" t="str">
        <x:v>测试场景</x:v>
      </x:c>
      <x:c r="C28" t="str">
        <x:v>18条应验证场景；尚未执行正式代码测试</x:v>
      </x:c>
    </x:row>
    <x:row r="30" ht="32" customHeight="1">
      <x:c r="A30" s="37" t="str">
        <x:v>使用规则：先调整 00 页 B8 截止日期，再编辑 02 页计划及核实状态。Excel 中的公式重算即可用于核验；通知/资金发送不会真实发生。</x:v>
      </x:c>
      <x:c r="B30" s="37"/>
      <x:c r="C30" s="37"/>
      <x:c r="D30" s="37"/>
      <x:c r="E30" s="37"/>
      <x:c r="F30" s="37"/>
      <x:c r="G30" s="37"/>
      <x:c r="H30" s="37"/>
    </x:row>
    <x:row r="32" ht="34" customHeight="1">
      <x:c r="A32" s="42" t="str">
        <x:v>业务边界：待核对不等于延期、通知审核通过不等于已发送、收付款计划不等于已实际发生。所有标准动作、节假日、指标权重等须由业务部门确认。</x:v>
      </x:c>
      <x:c r="B32" s="42"/>
      <x:c r="C32" s="42"/>
      <x:c r="D32" s="42"/>
      <x:c r="E32" s="42"/>
      <x:c r="F32" s="42"/>
      <x:c r="G32" s="42"/>
      <x:c r="H32" s="42"/>
    </x:row>
  </x:sheetData>
  <x:mergeCells>
    <x:mergeCell ref="A1:H2"/>
    <x:mergeCell ref="A3:H3"/>
    <x:mergeCell ref="A12:H12"/>
    <x:mergeCell ref="A20:H20"/>
    <x:mergeCell ref="A30:H30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7" hidden="0" customWidth="1"/>
    <x:col min="5" max="5" width="17" hidden="0" customWidth="1"/>
    <x:col min="6" max="6" width="15" hidden="0" customWidth="1"/>
    <x:col min="7" max="7" width="16" hidden="0" customWidth="1"/>
    <x:col min="8" max="8" width="17" hidden="0" customWidth="1"/>
    <x:col min="9" max="9" width="16" hidden="0" customWidth="1"/>
    <x:col min="10" max="10" width="19" hidden="0" customWidth="1"/>
    <x:col min="11" max="11" width="19" hidden="0" customWidth="1"/>
    <x:col min="12" max="12" width="16" hidden="0" customWidth="1"/>
  </x:cols>
  <x:sheetData>
    <x:row r="1" ht="24" customHeight="1">
      <x:c r="A1" s="4" t="str">
        <x:v>01  项目台账｜试点项目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虚拟项目基础资料；数量字段从节点计划自动汇总，全部数据均为演示。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6" ht="34" customHeight="1">
      <x:c r="A6" s="17" t="str">
        <x:v>项目编号</x:v>
      </x:c>
      <x:c r="B6" s="17" t="str">
        <x:v>项目名称</x:v>
      </x:c>
      <x:c r="C6" s="17" t="str">
        <x:v>项目类型</x:v>
      </x:c>
      <x:c r="D6" s="17" t="str">
        <x:v>项目负责人</x:v>
      </x:c>
      <x:c r="E6" s="17" t="str">
        <x:v>责任部门</x:v>
      </x:c>
      <x:c r="F6" s="17" t="str">
        <x:v>项目状态</x:v>
      </x:c>
      <x:c r="G6" s="17" t="str">
        <x:v>计划开始</x:v>
      </x:c>
      <x:c r="H6" s="17" t="str">
        <x:v>计划结束</x:v>
      </x:c>
      <x:c r="I6" s="17" t="str">
        <x:v>当前计划版本</x:v>
      </x:c>
      <x:c r="J6" s="17" t="str">
        <x:v>节点数量（公式）</x:v>
      </x:c>
      <x:c r="K6" s="17" t="str">
        <x:v>到期节点（公式）</x:v>
      </x:c>
      <x:c r="L6" s="17" t="str">
        <x:v>数据属性</x:v>
      </x:c>
    </x:row>
    <x:row r="7" ht="28" customHeight="1">
      <x:c r="A7" s="52" t="str">
        <x:v>P-H028</x:v>
      </x:c>
      <x:c r="B7" s="52" t="str">
        <x:v>7500DWT 化学品船</x:v>
      </x:c>
      <x:c r="C7" s="52" t="str">
        <x:v>船舶建造</x:v>
      </x:c>
      <x:c r="D7" s="52" t="str">
        <x:v>张工</x:v>
      </x:c>
      <x:c r="E7" s="52" t="str">
        <x:v>项目部</x:v>
      </x:c>
      <x:c r="F7" s="52" t="str">
        <x:v>进行中</x:v>
      </x:c>
      <x:c r="G7" s="53" t="n">
        <x:v>46267</x:v>
      </x:c>
      <x:c r="H7" s="53" t="n">
        <x:v>46550</x:v>
      </x:c>
      <x:c r="I7" s="52" t="str">
        <x:v>V2</x:v>
      </x:c>
      <x:c r="J7" s="86" t="n">
        <x:f>COUNTIF('02_节点计划'!$A$7:$A$73,A7)</x:f>
        <x:v>26</x:v>
      </x:c>
      <x:c r="K7" s="86" t="n">
        <x:f>COUNTIFS('02_节点计划'!$A$7:$A$73,A7,'02_节点计划'!$O$7:$O$73,1)</x:f>
        <x:v>16</x:v>
      </x:c>
      <x:c r="L7" s="52" t="str">
        <x:v>模拟项目</x:v>
      </x:c>
    </x:row>
    <x:row r="8" ht="28" customHeight="1">
      <x:c r="A8" s="62" t="str">
        <x:v>P-H031</x:v>
      </x:c>
      <x:c r="B8" s="62" t="str">
        <x:v>多用途运输船</x:v>
      </x:c>
      <x:c r="C8" s="62" t="str">
        <x:v>船舶建造</x:v>
      </x:c>
      <x:c r="D8" s="62" t="str">
        <x:v>李工</x:v>
      </x:c>
      <x:c r="E8" s="62" t="str">
        <x:v>项目部</x:v>
      </x:c>
      <x:c r="F8" s="62" t="str">
        <x:v>进行中</x:v>
      </x:c>
      <x:c r="G8" s="63" t="n">
        <x:v>46266</x:v>
      </x:c>
      <x:c r="H8" s="63" t="n">
        <x:v>46535</x:v>
      </x:c>
      <x:c r="I8" s="62" t="str">
        <x:v>V1</x:v>
      </x:c>
      <x:c r="J8" s="86" t="n">
        <x:f>COUNTIF('02_节点计划'!$A$7:$A$73,A8)</x:f>
        <x:v>24</x:v>
      </x:c>
      <x:c r="K8" s="86" t="n">
        <x:f>COUNTIFS('02_节点计划'!$A$7:$A$73,A8,'02_节点计划'!$O$7:$O$73,1)</x:f>
        <x:v>12</x:v>
      </x:c>
      <x:c r="L8" s="62" t="str">
        <x:v>模拟项目</x:v>
      </x:c>
    </x:row>
    <x:row r="9" ht="28" customHeight="1">
      <x:c r="A9" s="52" t="str">
        <x:v>P-H014</x:v>
      </x:c>
      <x:c r="B9" s="52" t="str">
        <x:v>工艺试制项目</x:v>
      </x:c>
      <x:c r="C9" s="52" t="str">
        <x:v>试制项目</x:v>
      </x:c>
      <x:c r="D9" s="52" t="str">
        <x:v>王工</x:v>
      </x:c>
      <x:c r="E9" s="52" t="str">
        <x:v>工艺部</x:v>
      </x:c>
      <x:c r="F9" s="52" t="str">
        <x:v>需关注</x:v>
      </x:c>
      <x:c r="G9" s="53" t="n">
        <x:v>46268</x:v>
      </x:c>
      <x:c r="H9" s="53" t="n">
        <x:v>46384</x:v>
      </x:c>
      <x:c r="I9" s="52" t="str">
        <x:v>V1</x:v>
      </x:c>
      <x:c r="J9" s="86" t="n">
        <x:f>COUNTIF('02_节点计划'!$A$7:$A$73,A9)</x:f>
        <x:v>17</x:v>
      </x:c>
      <x:c r="K9" s="86" t="n">
        <x:f>COUNTIFS('02_节点计划'!$A$7:$A$73,A9,'02_节点计划'!$O$7:$O$73,1)</x:f>
        <x:v>8</x:v>
      </x:c>
      <x:c r="L9" s="52" t="str">
        <x:v>模拟项目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7ae94babd4dc4ea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0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5" hidden="0" customWidth="1"/>
    <x:col min="9" max="9" width="14" hidden="0" customWidth="1"/>
    <x:col min="10" max="10" width="17" hidden="0" customWidth="1"/>
    <x:col min="11" max="11" width="18" hidden="0" customWidth="1"/>
    <x:col min="12" max="12" width="25" hidden="0" customWidth="1"/>
    <x:col min="13" max="13" width="21" hidden="0" customWidth="1"/>
    <x:col min="14" max="14" width="20" hidden="0" customWidth="1"/>
    <x:col min="15" max="15" width="18" hidden="0" customWidth="1"/>
    <x:col min="16" max="16" width="18" hidden="0" customWidth="1"/>
    <x:col min="17" max="17" width="35" hidden="0" customWidth="1"/>
    <x:col min="18" max="18" width="15" hidden="0" customWidth="1"/>
  </x:cols>
  <x:sheetData>
    <x:row r="1" ht="24" customHeight="1">
      <x:c r="A1" s="4" t="str">
        <x:v>02  项目节点计划｜67 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8" customHeight="1">
      <x:c r="A3" s="10" t="str">
        <x:v>截至 2026-10-19：36 条到期。依据生效日期、实际完成与核实状态由公式判定，不推断未核实节点。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6" ht="34" customHeight="1">
      <x:c r="A6" s="17" t="str">
        <x:v>项目编号</x:v>
      </x:c>
      <x:c r="B6" s="17" t="str">
        <x:v>节点编号</x:v>
      </x:c>
      <x:c r="C6" s="17" t="str">
        <x:v>节点名称</x:v>
      </x:c>
      <x:c r="D6" s="17" t="str">
        <x:v>节点类型</x:v>
      </x:c>
      <x:c r="E6" s="17" t="str">
        <x:v>计划版本</x:v>
      </x:c>
      <x:c r="F6" s="17" t="str">
        <x:v>计划完成日期</x:v>
      </x:c>
      <x:c r="G6" s="17" t="str">
        <x:v>实际完成日期</x:v>
      </x:c>
      <x:c r="H6" s="17" t="str">
        <x:v>核实状态</x:v>
      </x:c>
      <x:c r="I6" s="17" t="str">
        <x:v>节点效力</x:v>
      </x:c>
      <x:c r="J6" s="17" t="str">
        <x:v>责任部门</x:v>
      </x:c>
      <x:c r="K6" s="17" t="str">
        <x:v>责任人</x:v>
      </x:c>
      <x:c r="L6" s="17" t="str">
        <x:v>日期依据</x:v>
      </x:c>
      <x:c r="M6" s="17" t="str">
        <x:v>计算状态（公式）</x:v>
      </x:c>
      <x:c r="N6" s="17" t="str">
        <x:v>偏差天数（公式）</x:v>
      </x:c>
      <x:c r="O6" s="17" t="str">
        <x:v>是否到期（公式）</x:v>
      </x:c>
      <x:c r="P6" s="17" t="str">
        <x:v>提醒规则编号</x:v>
      </x:c>
      <x:c r="Q6" s="17" t="str">
        <x:v>说明</x:v>
      </x:c>
      <x:c r="R6" s="17" t="str">
        <x:v>来源属性</x:v>
      </x:c>
    </x:row>
    <x:row r="7" ht="27" customHeight="1">
      <x:c r="A7" s="52" t="str">
        <x:v>P-H014</x:v>
      </x:c>
      <x:c r="B7" s="52" t="str">
        <x:v>H014-N001</x:v>
      </x:c>
      <x:c r="C7" s="52" t="str">
        <x:v>试制项目合同确认</x:v>
      </x:c>
      <x:c r="D7" s="52" t="str">
        <x:v>合同签订</x:v>
      </x:c>
      <x:c r="E7" s="52" t="str">
        <x:v>V1</x:v>
      </x:c>
      <x:c r="F7" s="53" t="n">
        <x:v>46268</x:v>
      </x:c>
      <x:c r="G7" s="53" t="n">
        <x:v>46268</x:v>
      </x:c>
      <x:c r="H7" s="88" t="str">
        <x:v>已核实</x:v>
      </x:c>
      <x:c r="I7" s="88" t="str">
        <x:v>有效</x:v>
      </x:c>
      <x:c r="J7" s="52" t="str">
        <x:v>经营部</x:v>
      </x:c>
      <x:c r="K7" s="52" t="str">
        <x:v>王工</x:v>
      </x:c>
      <x:c r="L7" s="52" t="str">
        <x:v>合同约定（演示，未核实）</x:v>
      </x:c>
      <x:c r="M7" s="86" t="str">
        <x:f>IF(I7&lt;&gt;"有效","已取消",IF(F7&gt;'00_使用说明'!$B$8,"未到期",IF(OR(H7&lt;&gt;"已核实",G7=""),"待核对",IF(G7&lt;=F7,"按期完成","延期完成"))))</x:f>
        <x:v>按期完成</x:v>
      </x:c>
      <x:c r="N7" s="86" t="n">
        <x:f>IF(AND(H7="已核实",ISNUMBER(G7),ISNUMBER(F7)),G7-F7,"")</x:f>
        <x:v>0</x:v>
      </x:c>
      <x:c r="O7" s="86" t="n">
        <x:f>IF(AND(I7="有效",F7&lt;='00_使用说明'!$B$8),1,0)</x:f>
        <x:v>1</x:v>
      </x:c>
      <x:c r="P7" s="52" t="str">
        <x:v>R-CON</x:v>
      </x:c>
      <x:c r="Q7" s="52" t="str">
        <x:v>已核实样例</x:v>
      </x:c>
      <x:c r="R7" s="52" t="str">
        <x:v>模拟</x:v>
      </x:c>
    </x:row>
    <x:row r="8" ht="27" customHeight="1">
      <x:c r="A8" s="62" t="str">
        <x:v>P-H014</x:v>
      </x:c>
      <x:c r="B8" s="62" t="str">
        <x:v>H014-N002</x:v>
      </x:c>
      <x:c r="C8" s="62" t="str">
        <x:v>试制方案评审</x:v>
      </x:c>
      <x:c r="D8" s="62" t="str">
        <x:v>设计资料</x:v>
      </x:c>
      <x:c r="E8" s="62" t="str">
        <x:v>V1</x:v>
      </x:c>
      <x:c r="F8" s="63" t="n">
        <x:v>46274</x:v>
      </x:c>
      <x:c r="G8" s="63" t="n">
        <x:v>46274</x:v>
      </x:c>
      <x:c r="H8" s="88" t="str">
        <x:v>已核实</x:v>
      </x:c>
      <x:c r="I8" s="88" t="str">
        <x:v>有效</x:v>
      </x:c>
      <x:c r="J8" s="62" t="str">
        <x:v>设计部</x:v>
      </x:c>
      <x:c r="K8" s="62" t="str">
        <x:v>王工</x:v>
      </x:c>
      <x:c r="L8" s="62" t="str">
        <x:v>内部计划（演示）</x:v>
      </x:c>
      <x:c r="M8" s="86" t="str">
        <x:f>IF(I8&lt;&gt;"有效","已取消",IF(F8&gt;'00_使用说明'!$B$8,"未到期",IF(OR(H8&lt;&gt;"已核实",G8=""),"待核对",IF(G8&lt;=F8,"按期完成","延期完成"))))</x:f>
        <x:v>按期完成</x:v>
      </x:c>
      <x:c r="N8" s="86" t="n">
        <x:f>IF(AND(H8="已核实",ISNUMBER(G8),ISNUMBER(F8)),G8-F8,"")</x:f>
        <x:v>0</x:v>
      </x:c>
      <x:c r="O8" s="86" t="n">
        <x:f>IF(AND(I8="有效",F8&lt;='00_使用说明'!$B$8),1,0)</x:f>
        <x:v>1</x:v>
      </x:c>
      <x:c r="P8" s="62" t="str">
        <x:v>R-DES</x:v>
      </x:c>
      <x:c r="Q8" s="62" t="str">
        <x:v>已核实样例</x:v>
      </x:c>
      <x:c r="R8" s="62" t="str">
        <x:v>模拟</x:v>
      </x:c>
    </x:row>
    <x:row r="9" ht="27" customHeight="1">
      <x:c r="A9" s="52" t="str">
        <x:v>P-H014</x:v>
      </x:c>
      <x:c r="B9" s="52" t="str">
        <x:v>H014-N003</x:v>
      </x:c>
      <x:c r="C9" s="52" t="str">
        <x:v>样件材料到货</x:v>
      </x:c>
      <x:c r="D9" s="52" t="str">
        <x:v>采购确认</x:v>
      </x:c>
      <x:c r="E9" s="52" t="str">
        <x:v>V1</x:v>
      </x:c>
      <x:c r="F9" s="53" t="n">
        <x:v>46282</x:v>
      </x:c>
      <x:c r="G9" s="53" t="n">
        <x:v>46281</x:v>
      </x:c>
      <x:c r="H9" s="88" t="str">
        <x:v>已核实</x:v>
      </x:c>
      <x:c r="I9" s="88" t="str">
        <x:v>有效</x:v>
      </x:c>
      <x:c r="J9" s="52" t="str">
        <x:v>采购部</x:v>
      </x:c>
      <x:c r="K9" s="52" t="str">
        <x:v>王工</x:v>
      </x:c>
      <x:c r="L9" s="52" t="str">
        <x:v>内部计划（演示）</x:v>
      </x:c>
      <x:c r="M9" s="86" t="str">
        <x:f>IF(I9&lt;&gt;"有效","已取消",IF(F9&gt;'00_使用说明'!$B$8,"未到期",IF(OR(H9&lt;&gt;"已核实",G9=""),"待核对",IF(G9&lt;=F9,"按期完成","延期完成"))))</x:f>
        <x:v>按期完成</x:v>
      </x:c>
      <x:c r="N9" s="86" t="n">
        <x:f>IF(AND(H9="已核实",ISNUMBER(G9),ISNUMBER(F9)),G9-F9,"")</x:f>
        <x:v>-1</x:v>
      </x:c>
      <x:c r="O9" s="86" t="n">
        <x:f>IF(AND(I9="有效",F9&lt;='00_使用说明'!$B$8),1,0)</x:f>
        <x:v>1</x:v>
      </x:c>
      <x:c r="P9" s="52" t="str">
        <x:v>R-PROC</x:v>
      </x:c>
      <x:c r="Q9" s="52" t="str">
        <x:v>已核实样例</x:v>
      </x:c>
      <x:c r="R9" s="52" t="str">
        <x:v>模拟</x:v>
      </x:c>
    </x:row>
    <x:row r="10" ht="27" customHeight="1">
      <x:c r="A10" s="62" t="str">
        <x:v>P-H014</x:v>
      </x:c>
      <x:c r="B10" s="62" t="str">
        <x:v>H014-N004</x:v>
      </x:c>
      <x:c r="C10" s="62" t="str">
        <x:v>工艺评审</x:v>
      </x:c>
      <x:c r="D10" s="62" t="str">
        <x:v>图纸审核</x:v>
      </x:c>
      <x:c r="E10" s="62" t="str">
        <x:v>V1</x:v>
      </x:c>
      <x:c r="F10" s="63" t="n">
        <x:v>46287</x:v>
      </x:c>
      <x:c r="G10" s="63" t="n">
        <x:v>46289</x:v>
      </x:c>
      <x:c r="H10" s="88" t="str">
        <x:v>已核实</x:v>
      </x:c>
      <x:c r="I10" s="88" t="str">
        <x:v>有效</x:v>
      </x:c>
      <x:c r="J10" s="62" t="str">
        <x:v>工艺部</x:v>
      </x:c>
      <x:c r="K10" s="62" t="str">
        <x:v>王工</x:v>
      </x:c>
      <x:c r="L10" s="62" t="str">
        <x:v>内部计划（演示）</x:v>
      </x:c>
      <x:c r="M10" s="86" t="str">
        <x:f>IF(I10&lt;&gt;"有效","已取消",IF(F10&gt;'00_使用说明'!$B$8,"未到期",IF(OR(H10&lt;&gt;"已核实",G10=""),"待核对",IF(G10&lt;=F10,"按期完成","延期完成"))))</x:f>
        <x:v>延期完成</x:v>
      </x:c>
      <x:c r="N10" s="86" t="n">
        <x:f>IF(AND(H10="已核实",ISNUMBER(G10),ISNUMBER(F10)),G10-F10,"")</x:f>
        <x:v>2</x:v>
      </x:c>
      <x:c r="O10" s="86" t="n">
        <x:f>IF(AND(I10="有效",F10&lt;='00_使用说明'!$B$8),1,0)</x:f>
        <x:v>1</x:v>
      </x:c>
      <x:c r="P10" s="62" t="str">
        <x:v>R-DES</x:v>
      </x:c>
      <x:c r="Q10" s="62" t="str">
        <x:v>延期完成（演示）</x:v>
      </x:c>
      <x:c r="R10" s="62" t="str">
        <x:v>模拟</x:v>
      </x:c>
    </x:row>
    <x:row r="11" ht="27" customHeight="1">
      <x:c r="A11" s="52" t="str">
        <x:v>P-H014</x:v>
      </x:c>
      <x:c r="B11" s="52" t="str">
        <x:v>H014-N005</x:v>
      </x:c>
      <x:c r="C11" s="52" t="str">
        <x:v>样件首件制造</x:v>
      </x:c>
      <x:c r="D11" s="52" t="str">
        <x:v>生产节点</x:v>
      </x:c>
      <x:c r="E11" s="52" t="str">
        <x:v>V1</x:v>
      </x:c>
      <x:c r="F11" s="53" t="n">
        <x:v>46294</x:v>
      </x:c>
      <x:c r="G11" s="53" t="n">
        <x:v>46294</x:v>
      </x:c>
      <x:c r="H11" s="88" t="str">
        <x:v>已核实</x:v>
      </x:c>
      <x:c r="I11" s="88" t="str">
        <x:v>有效</x:v>
      </x:c>
      <x:c r="J11" s="52" t="str">
        <x:v>生产部</x:v>
      </x:c>
      <x:c r="K11" s="52" t="str">
        <x:v>王工</x:v>
      </x:c>
      <x:c r="L11" s="52" t="str">
        <x:v>内部计划（演示）</x:v>
      </x:c>
      <x:c r="M11" s="86" t="str">
        <x:f>IF(I11&lt;&gt;"有效","已取消",IF(F11&gt;'00_使用说明'!$B$8,"未到期",IF(OR(H11&lt;&gt;"已核实",G11=""),"待核对",IF(G11&lt;=F11,"按期完成","延期完成"))))</x:f>
        <x:v>按期完成</x:v>
      </x:c>
      <x:c r="N11" s="86" t="n">
        <x:f>IF(AND(H11="已核实",ISNUMBER(G11),ISNUMBER(F11)),G11-F11,"")</x:f>
        <x:v>0</x:v>
      </x:c>
      <x:c r="O11" s="86" t="n">
        <x:f>IF(AND(I11="有效",F11&lt;='00_使用说明'!$B$8),1,0)</x:f>
        <x:v>1</x:v>
      </x:c>
      <x:c r="P11" s="52" t="str">
        <x:v>R-PROD</x:v>
      </x:c>
      <x:c r="Q11" s="52" t="str">
        <x:v>已核实样例</x:v>
      </x:c>
      <x:c r="R11" s="52" t="str">
        <x:v>模拟</x:v>
      </x:c>
    </x:row>
    <x:row r="12" ht="27" customHeight="1">
      <x:c r="A12" s="62" t="str">
        <x:v>P-H014</x:v>
      </x:c>
      <x:c r="B12" s="62" t="str">
        <x:v>H014-N006</x:v>
      </x:c>
      <x:c r="C12" s="62" t="str">
        <x:v>中间质量检验</x:v>
      </x:c>
      <x:c r="D12" s="62" t="str">
        <x:v>验收节点</x:v>
      </x:c>
      <x:c r="E12" s="62" t="str">
        <x:v>V1</x:v>
      </x:c>
      <x:c r="F12" s="63" t="n">
        <x:v>46303</x:v>
      </x:c>
      <x:c r="G12" s="63" t="n">
        <x:v>46302</x:v>
      </x:c>
      <x:c r="H12" s="88" t="str">
        <x:v>已核实</x:v>
      </x:c>
      <x:c r="I12" s="88" t="str">
        <x:v>有效</x:v>
      </x:c>
      <x:c r="J12" s="62" t="str">
        <x:v>质检部</x:v>
      </x:c>
      <x:c r="K12" s="62" t="str">
        <x:v>王工</x:v>
      </x:c>
      <x:c r="L12" s="62" t="str">
        <x:v>内部计划（演示）</x:v>
      </x:c>
      <x:c r="M12" s="86" t="str">
        <x:f>IF(I12&lt;&gt;"有效","已取消",IF(F12&gt;'00_使用说明'!$B$8,"未到期",IF(OR(H12&lt;&gt;"已核实",G12=""),"待核对",IF(G12&lt;=F12,"按期完成","延期完成"))))</x:f>
        <x:v>按期完成</x:v>
      </x:c>
      <x:c r="N12" s="86" t="n">
        <x:f>IF(AND(H12="已核实",ISNUMBER(G12),ISNUMBER(F12)),G12-F12,"")</x:f>
        <x:v>-1</x:v>
      </x:c>
      <x:c r="O12" s="86" t="n">
        <x:f>IF(AND(I12="有效",F12&lt;='00_使用说明'!$B$8),1,0)</x:f>
        <x:v>1</x:v>
      </x:c>
      <x:c r="P12" s="62" t="str">
        <x:v>R-ACC</x:v>
      </x:c>
      <x:c r="Q12" s="62" t="str">
        <x:v>已核实样例</x:v>
      </x:c>
      <x:c r="R12" s="62" t="str">
        <x:v>模拟</x:v>
      </x:c>
    </x:row>
    <x:row r="13" ht="27" customHeight="1">
      <x:c r="A13" s="52" t="str">
        <x:v>P-H014</x:v>
      </x:c>
      <x:c r="B13" s="52" t="str">
        <x:v>H014-N007</x:v>
      </x:c>
      <x:c r="C13" s="52" t="str">
        <x:v>试制试验记录归档</x:v>
      </x:c>
      <x:c r="D13" s="52" t="str">
        <x:v>资料签收</x:v>
      </x:c>
      <x:c r="E13" s="52" t="str">
        <x:v>V1</x:v>
      </x:c>
      <x:c r="F13" s="53" t="n">
        <x:v>46310</x:v>
      </x:c>
      <x:c r="G13" s="53"/>
      <x:c r="H13" s="88" t="str">
        <x:v>待核实</x:v>
      </x:c>
      <x:c r="I13" s="88" t="str">
        <x:v>有效</x:v>
      </x:c>
      <x:c r="J13" s="52" t="str">
        <x:v>项目部</x:v>
      </x:c>
      <x:c r="K13" s="52" t="str">
        <x:v>王工</x:v>
      </x:c>
      <x:c r="L13" s="52" t="str">
        <x:v>内部计划（演示）</x:v>
      </x:c>
      <x:c r="M13" s="86" t="str">
        <x:f>IF(I13&lt;&gt;"有效","已取消",IF(F13&gt;'00_使用说明'!$B$8,"未到期",IF(OR(H13&lt;&gt;"已核实",G13=""),"待核对",IF(G13&lt;=F13,"按期完成","延期完成"))))</x:f>
        <x:v>待核对</x:v>
      </x:c>
      <x:c r="N13" s="86" t="str">
        <x:f>IF(AND(H13="已核实",ISNUMBER(G13),ISNUMBER(F13)),G13-F13,"")</x:f>
      </x:c>
      <x:c r="O13" s="86" t="n">
        <x:f>IF(AND(I13="有效",F13&lt;='00_使用说明'!$B$8),1,0)</x:f>
        <x:v>1</x:v>
      </x:c>
      <x:c r="P13" s="52" t="str">
        <x:v>R-DOC</x:v>
      </x:c>
      <x:c r="Q13" s="52" t="str">
        <x:v>待补充业务核实依据</x:v>
      </x:c>
      <x:c r="R13" s="52" t="str">
        <x:v>模拟</x:v>
      </x:c>
    </x:row>
    <x:row r="14" ht="27" customHeight="1">
      <x:c r="A14" s="62" t="str">
        <x:v>P-H014</x:v>
      </x:c>
      <x:c r="B14" s="62" t="str">
        <x:v>H014-N008</x:v>
      </x:c>
      <x:c r="C14" s="62" t="str">
        <x:v>试制阶段报告</x:v>
      </x:c>
      <x:c r="D14" s="62" t="str">
        <x:v>资料签收</x:v>
      </x:c>
      <x:c r="E14" s="62" t="str">
        <x:v>V1</x:v>
      </x:c>
      <x:c r="F14" s="63" t="n">
        <x:v>46313</x:v>
      </x:c>
      <x:c r="G14" s="63" t="n">
        <x:v>46313</x:v>
      </x:c>
      <x:c r="H14" s="88" t="str">
        <x:v>已核实</x:v>
      </x:c>
      <x:c r="I14" s="88" t="str">
        <x:v>有效</x:v>
      </x:c>
      <x:c r="J14" s="62" t="str">
        <x:v>项目部</x:v>
      </x:c>
      <x:c r="K14" s="62" t="str">
        <x:v>王工</x:v>
      </x:c>
      <x:c r="L14" s="62" t="str">
        <x:v>内部计划（演示）</x:v>
      </x:c>
      <x:c r="M14" s="86" t="str">
        <x:f>IF(I14&lt;&gt;"有效","已取消",IF(F14&gt;'00_使用说明'!$B$8,"未到期",IF(OR(H14&lt;&gt;"已核实",G14=""),"待核对",IF(G14&lt;=F14,"按期完成","延期完成"))))</x:f>
        <x:v>按期完成</x:v>
      </x:c>
      <x:c r="N14" s="86" t="n">
        <x:f>IF(AND(H14="已核实",ISNUMBER(G14),ISNUMBER(F14)),G14-F14,"")</x:f>
        <x:v>0</x:v>
      </x:c>
      <x:c r="O14" s="86" t="n">
        <x:f>IF(AND(I14="有效",F14&lt;='00_使用说明'!$B$8),1,0)</x:f>
        <x:v>1</x:v>
      </x:c>
      <x:c r="P14" s="62" t="str">
        <x:v>R-DOC</x:v>
      </x:c>
      <x:c r="Q14" s="62" t="str">
        <x:v>已核实样例</x:v>
      </x:c>
      <x:c r="R14" s="62" t="str">
        <x:v>模拟</x:v>
      </x:c>
    </x:row>
    <x:row r="15" ht="27" customHeight="1">
      <x:c r="A15" s="52" t="str">
        <x:v>P-H014</x:v>
      </x:c>
      <x:c r="B15" s="52" t="str">
        <x:v>H014-N009</x:v>
      </x:c>
      <x:c r="C15" s="52" t="str">
        <x:v>样件复验</x:v>
      </x:c>
      <x:c r="D15" s="52" t="str">
        <x:v>验收节点</x:v>
      </x:c>
      <x:c r="E15" s="52" t="str">
        <x:v>V1</x:v>
      </x:c>
      <x:c r="F15" s="53" t="n">
        <x:v>46319</x:v>
      </x:c>
      <x:c r="G15" s="53"/>
      <x:c r="H15" s="88" t="str">
        <x:v>未核实</x:v>
      </x:c>
      <x:c r="I15" s="88" t="str">
        <x:v>有效</x:v>
      </x:c>
      <x:c r="J15" s="52" t="str">
        <x:v>质检部</x:v>
      </x:c>
      <x:c r="K15" s="52" t="str">
        <x:v>王工</x:v>
      </x:c>
      <x:c r="L15" s="52" t="str">
        <x:v>内部计划（演示）</x:v>
      </x:c>
      <x:c r="M15" s="86" t="str">
        <x:f>IF(I15&lt;&gt;"有效","已取消",IF(F15&gt;'00_使用说明'!$B$8,"未到期",IF(OR(H15&lt;&gt;"已核实",G15=""),"待核对",IF(G15&lt;=F15,"按期完成","延期完成"))))</x:f>
        <x:v>未到期</x:v>
      </x:c>
      <x:c r="N15" s="86" t="str">
        <x:f>IF(AND(H15="已核实",ISNUMBER(G15),ISNUMBER(F15)),G15-F15,"")</x:f>
      </x:c>
      <x:c r="O15" s="86" t="n">
        <x:f>IF(AND(I15="有效",F15&lt;='00_使用说明'!$B$8),1,0)</x:f>
        <x:v>0</x:v>
      </x:c>
      <x:c r="P15" s="52" t="str">
        <x:v>R-ACC</x:v>
      </x:c>
      <x:c r="Q15" s="52" t="str">
        <x:v>未来计划节点</x:v>
      </x:c>
      <x:c r="R15" s="52" t="str">
        <x:v>模拟</x:v>
      </x:c>
    </x:row>
    <x:row r="16" ht="27" customHeight="1">
      <x:c r="A16" s="62" t="str">
        <x:v>P-H014</x:v>
      </x:c>
      <x:c r="B16" s="62" t="str">
        <x:v>H014-N010</x:v>
      </x:c>
      <x:c r="C16" s="62" t="str">
        <x:v>试制二次材料采购</x:v>
      </x:c>
      <x:c r="D16" s="62" t="str">
        <x:v>采购确认</x:v>
      </x:c>
      <x:c r="E16" s="62" t="str">
        <x:v>V1</x:v>
      </x:c>
      <x:c r="F16" s="63" t="n">
        <x:v>46326</x:v>
      </x:c>
      <x:c r="G16" s="63"/>
      <x:c r="H16" s="88" t="str">
        <x:v>未核实</x:v>
      </x:c>
      <x:c r="I16" s="88" t="str">
        <x:v>有效</x:v>
      </x:c>
      <x:c r="J16" s="62" t="str">
        <x:v>采购部</x:v>
      </x:c>
      <x:c r="K16" s="62" t="str">
        <x:v>王工</x:v>
      </x:c>
      <x:c r="L16" s="62" t="str">
        <x:v>内部计划（演示）</x:v>
      </x:c>
      <x:c r="M16" s="86" t="str">
        <x:f>IF(I16&lt;&gt;"有效","已取消",IF(F16&gt;'00_使用说明'!$B$8,"未到期",IF(OR(H16&lt;&gt;"已核实",G16=""),"待核对",IF(G16&lt;=F16,"按期完成","延期完成"))))</x:f>
        <x:v>未到期</x:v>
      </x:c>
      <x:c r="N16" s="86" t="str">
        <x:f>IF(AND(H16="已核实",ISNUMBER(G16),ISNUMBER(F16)),G16-F16,"")</x:f>
      </x:c>
      <x:c r="O16" s="86" t="n">
        <x:f>IF(AND(I16="有效",F16&lt;='00_使用说明'!$B$8),1,0)</x:f>
        <x:v>0</x:v>
      </x:c>
      <x:c r="P16" s="62" t="str">
        <x:v>R-PROC</x:v>
      </x:c>
      <x:c r="Q16" s="62" t="str">
        <x:v>未来计划节点</x:v>
      </x:c>
      <x:c r="R16" s="62" t="str">
        <x:v>模拟</x:v>
      </x:c>
    </x:row>
    <x:row r="17" ht="27" customHeight="1">
      <x:c r="A17" s="52" t="str">
        <x:v>P-H014</x:v>
      </x:c>
      <x:c r="B17" s="52" t="str">
        <x:v>H014-N011</x:v>
      </x:c>
      <x:c r="C17" s="52" t="str">
        <x:v>二轮工艺优化</x:v>
      </x:c>
      <x:c r="D17" s="52" t="str">
        <x:v>设计资料</x:v>
      </x:c>
      <x:c r="E17" s="52" t="str">
        <x:v>V1</x:v>
      </x:c>
      <x:c r="F17" s="53" t="n">
        <x:v>46333</x:v>
      </x:c>
      <x:c r="G17" s="53"/>
      <x:c r="H17" s="88" t="str">
        <x:v>未核实</x:v>
      </x:c>
      <x:c r="I17" s="88" t="str">
        <x:v>有效</x:v>
      </x:c>
      <x:c r="J17" s="52" t="str">
        <x:v>工艺部</x:v>
      </x:c>
      <x:c r="K17" s="52" t="str">
        <x:v>王工</x:v>
      </x:c>
      <x:c r="L17" s="52" t="str">
        <x:v>内部计划（演示）</x:v>
      </x:c>
      <x:c r="M17" s="86" t="str">
        <x:f>IF(I17&lt;&gt;"有效","已取消",IF(F17&gt;'00_使用说明'!$B$8,"未到期",IF(OR(H17&lt;&gt;"已核实",G17=""),"待核对",IF(G17&lt;=F17,"按期完成","延期完成"))))</x:f>
        <x:v>未到期</x:v>
      </x:c>
      <x:c r="N17" s="86" t="str">
        <x:f>IF(AND(H17="已核实",ISNUMBER(G17),ISNUMBER(F17)),G17-F17,"")</x:f>
      </x:c>
      <x:c r="O17" s="86" t="n">
        <x:f>IF(AND(I17="有效",F17&lt;='00_使用说明'!$B$8),1,0)</x:f>
        <x:v>0</x:v>
      </x:c>
      <x:c r="P17" s="52" t="str">
        <x:v>R-DES</x:v>
      </x:c>
      <x:c r="Q17" s="52" t="str">
        <x:v>未来计划节点</x:v>
      </x:c>
      <x:c r="R17" s="52" t="str">
        <x:v>模拟</x:v>
      </x:c>
    </x:row>
    <x:row r="18" ht="27" customHeight="1">
      <x:c r="A18" s="62" t="str">
        <x:v>P-H014</x:v>
      </x:c>
      <x:c r="B18" s="62" t="str">
        <x:v>H014-N012</x:v>
      </x:c>
      <x:c r="C18" s="62" t="str">
        <x:v>二轮样件完成</x:v>
      </x:c>
      <x:c r="D18" s="62" t="str">
        <x:v>生产节点</x:v>
      </x:c>
      <x:c r="E18" s="62" t="str">
        <x:v>V1</x:v>
      </x:c>
      <x:c r="F18" s="63" t="n">
        <x:v>46342</x:v>
      </x:c>
      <x:c r="G18" s="63"/>
      <x:c r="H18" s="88" t="str">
        <x:v>未核实</x:v>
      </x:c>
      <x:c r="I18" s="88" t="str">
        <x:v>有效</x:v>
      </x:c>
      <x:c r="J18" s="62" t="str">
        <x:v>生产部</x:v>
      </x:c>
      <x:c r="K18" s="62" t="str">
        <x:v>王工</x:v>
      </x:c>
      <x:c r="L18" s="62" t="str">
        <x:v>内部计划（演示）</x:v>
      </x:c>
      <x:c r="M18" s="86" t="str">
        <x:f>IF(I18&lt;&gt;"有效","已取消",IF(F18&gt;'00_使用说明'!$B$8,"未到期",IF(OR(H18&lt;&gt;"已核实",G18=""),"待核对",IF(G18&lt;=F18,"按期完成","延期完成"))))</x:f>
        <x:v>未到期</x:v>
      </x:c>
      <x:c r="N18" s="86" t="str">
        <x:f>IF(AND(H18="已核实",ISNUMBER(G18),ISNUMBER(F18)),G18-F18,"")</x:f>
      </x:c>
      <x:c r="O18" s="86" t="n">
        <x:f>IF(AND(I18="有效",F18&lt;='00_使用说明'!$B$8),1,0)</x:f>
        <x:v>0</x:v>
      </x:c>
      <x:c r="P18" s="62" t="str">
        <x:v>R-PROD</x:v>
      </x:c>
      <x:c r="Q18" s="62" t="str">
        <x:v>未来计划节点</x:v>
      </x:c>
      <x:c r="R18" s="62" t="str">
        <x:v>模拟</x:v>
      </x:c>
    </x:row>
    <x:row r="19" ht="27" customHeight="1">
      <x:c r="A19" s="52" t="str">
        <x:v>P-H014</x:v>
      </x:c>
      <x:c r="B19" s="52" t="str">
        <x:v>H014-N013</x:v>
      </x:c>
      <x:c r="C19" s="52" t="str">
        <x:v>样件性能验证</x:v>
      </x:c>
      <x:c r="D19" s="52" t="str">
        <x:v>验收节点</x:v>
      </x:c>
      <x:c r="E19" s="52" t="str">
        <x:v>V1</x:v>
      </x:c>
      <x:c r="F19" s="53" t="n">
        <x:v>46354</x:v>
      </x:c>
      <x:c r="G19" s="53"/>
      <x:c r="H19" s="88" t="str">
        <x:v>未核实</x:v>
      </x:c>
      <x:c r="I19" s="88" t="str">
        <x:v>有效</x:v>
      </x:c>
      <x:c r="J19" s="52" t="str">
        <x:v>质检部</x:v>
      </x:c>
      <x:c r="K19" s="52" t="str">
        <x:v>王工</x:v>
      </x:c>
      <x:c r="L19" s="52" t="str">
        <x:v>内部计划（演示）</x:v>
      </x:c>
      <x:c r="M19" s="86" t="str">
        <x:f>IF(I19&lt;&gt;"有效","已取消",IF(F19&gt;'00_使用说明'!$B$8,"未到期",IF(OR(H19&lt;&gt;"已核实",G19=""),"待核对",IF(G19&lt;=F19,"按期完成","延期完成"))))</x:f>
        <x:v>未到期</x:v>
      </x:c>
      <x:c r="N19" s="86" t="str">
        <x:f>IF(AND(H19="已核实",ISNUMBER(G19),ISNUMBER(F19)),G19-F19,"")</x:f>
      </x:c>
      <x:c r="O19" s="86" t="n">
        <x:f>IF(AND(I19="有效",F19&lt;='00_使用说明'!$B$8),1,0)</x:f>
        <x:v>0</x:v>
      </x:c>
      <x:c r="P19" s="52" t="str">
        <x:v>R-ACC</x:v>
      </x:c>
      <x:c r="Q19" s="52" t="str">
        <x:v>未来计划节点</x:v>
      </x:c>
      <x:c r="R19" s="52" t="str">
        <x:v>模拟</x:v>
      </x:c>
    </x:row>
    <x:row r="20" ht="27" customHeight="1">
      <x:c r="A20" s="62" t="str">
        <x:v>P-H014</x:v>
      </x:c>
      <x:c r="B20" s="62" t="str">
        <x:v>H014-N014</x:v>
      </x:c>
      <x:c r="C20" s="62" t="str">
        <x:v>阶段付款条件核对</x:v>
      </x:c>
      <x:c r="D20" s="62" t="str">
        <x:v>阶段付款</x:v>
      </x:c>
      <x:c r="E20" s="62" t="str">
        <x:v>V1</x:v>
      </x:c>
      <x:c r="F20" s="63" t="n">
        <x:v>46358</x:v>
      </x:c>
      <x:c r="G20" s="63"/>
      <x:c r="H20" s="88" t="str">
        <x:v>未核实</x:v>
      </x:c>
      <x:c r="I20" s="88" t="str">
        <x:v>有效</x:v>
      </x:c>
      <x:c r="J20" s="62" t="str">
        <x:v>财务部</x:v>
      </x:c>
      <x:c r="K20" s="62" t="str">
        <x:v>王工</x:v>
      </x:c>
      <x:c r="L20" s="62" t="str">
        <x:v>合同约定（演示，未核实）</x:v>
      </x:c>
      <x:c r="M20" s="86" t="str">
        <x:f>IF(I20&lt;&gt;"有效","已取消",IF(F20&gt;'00_使用说明'!$B$8,"未到期",IF(OR(H20&lt;&gt;"已核实",G20=""),"待核对",IF(G20&lt;=F20,"按期完成","延期完成"))))</x:f>
        <x:v>未到期</x:v>
      </x:c>
      <x:c r="N20" s="86" t="str">
        <x:f>IF(AND(H20="已核实",ISNUMBER(G20),ISNUMBER(F20)),G20-F20,"")</x:f>
      </x:c>
      <x:c r="O20" s="86" t="n">
        <x:f>IF(AND(I20="有效",F20&lt;='00_使用说明'!$B$8),1,0)</x:f>
        <x:v>0</x:v>
      </x:c>
      <x:c r="P20" s="62" t="str">
        <x:v>R-PAY</x:v>
      </x:c>
      <x:c r="Q20" s="62" t="str">
        <x:v>未来计划节点</x:v>
      </x:c>
      <x:c r="R20" s="62" t="str">
        <x:v>模拟</x:v>
      </x:c>
    </x:row>
    <x:row r="21" ht="27" customHeight="1">
      <x:c r="A21" s="52" t="str">
        <x:v>P-H014</x:v>
      </x:c>
      <x:c r="B21" s="52" t="str">
        <x:v>H014-N015</x:v>
      </x:c>
      <x:c r="C21" s="52" t="str">
        <x:v>验证报告审核</x:v>
      </x:c>
      <x:c r="D21" s="52" t="str">
        <x:v>图纸审核</x:v>
      </x:c>
      <x:c r="E21" s="52" t="str">
        <x:v>V1</x:v>
      </x:c>
      <x:c r="F21" s="53" t="n">
        <x:v>46368</x:v>
      </x:c>
      <x:c r="G21" s="53"/>
      <x:c r="H21" s="88" t="str">
        <x:v>未核实</x:v>
      </x:c>
      <x:c r="I21" s="88" t="str">
        <x:v>有效</x:v>
      </x:c>
      <x:c r="J21" s="52" t="str">
        <x:v>设计部</x:v>
      </x:c>
      <x:c r="K21" s="52" t="str">
        <x:v>王工</x:v>
      </x:c>
      <x:c r="L21" s="52" t="str">
        <x:v>内部计划（演示）</x:v>
      </x:c>
      <x:c r="M21" s="86" t="str">
        <x:f>IF(I21&lt;&gt;"有效","已取消",IF(F21&gt;'00_使用说明'!$B$8,"未到期",IF(OR(H21&lt;&gt;"已核实",G21=""),"待核对",IF(G21&lt;=F21,"按期完成","延期完成"))))</x:f>
        <x:v>未到期</x:v>
      </x:c>
      <x:c r="N21" s="86" t="str">
        <x:f>IF(AND(H21="已核实",ISNUMBER(G21),ISNUMBER(F21)),G21-F21,"")</x:f>
      </x:c>
      <x:c r="O21" s="86" t="n">
        <x:f>IF(AND(I21="有效",F21&lt;='00_使用说明'!$B$8),1,0)</x:f>
        <x:v>0</x:v>
      </x:c>
      <x:c r="P21" s="52" t="str">
        <x:v>R-DES</x:v>
      </x:c>
      <x:c r="Q21" s="52" t="str">
        <x:v>未来计划节点</x:v>
      </x:c>
      <x:c r="R21" s="52" t="str">
        <x:v>模拟</x:v>
      </x:c>
    </x:row>
    <x:row r="22" ht="27" customHeight="1">
      <x:c r="A22" s="62" t="str">
        <x:v>P-H014</x:v>
      </x:c>
      <x:c r="B22" s="62" t="str">
        <x:v>H014-N016</x:v>
      </x:c>
      <x:c r="C22" s="62" t="str">
        <x:v>客户资料交付</x:v>
      </x:c>
      <x:c r="D22" s="62" t="str">
        <x:v>资料签收</x:v>
      </x:c>
      <x:c r="E22" s="62" t="str">
        <x:v>V1</x:v>
      </x:c>
      <x:c r="F22" s="63" t="n">
        <x:v>46376</x:v>
      </x:c>
      <x:c r="G22" s="63"/>
      <x:c r="H22" s="88" t="str">
        <x:v>未核实</x:v>
      </x:c>
      <x:c r="I22" s="88" t="str">
        <x:v>有效</x:v>
      </x:c>
      <x:c r="J22" s="62" t="str">
        <x:v>项目部</x:v>
      </x:c>
      <x:c r="K22" s="62" t="str">
        <x:v>王工</x:v>
      </x:c>
      <x:c r="L22" s="62" t="str">
        <x:v>内部计划（演示）</x:v>
      </x:c>
      <x:c r="M22" s="86" t="str">
        <x:f>IF(I22&lt;&gt;"有效","已取消",IF(F22&gt;'00_使用说明'!$B$8,"未到期",IF(OR(H22&lt;&gt;"已核实",G22=""),"待核对",IF(G22&lt;=F22,"按期完成","延期完成"))))</x:f>
        <x:v>未到期</x:v>
      </x:c>
      <x:c r="N22" s="86" t="str">
        <x:f>IF(AND(H22="已核实",ISNUMBER(G22),ISNUMBER(F22)),G22-F22,"")</x:f>
      </x:c>
      <x:c r="O22" s="86" t="n">
        <x:f>IF(AND(I22="有效",F22&lt;='00_使用说明'!$B$8),1,0)</x:f>
        <x:v>0</x:v>
      </x:c>
      <x:c r="P22" s="62" t="str">
        <x:v>R-DOC</x:v>
      </x:c>
      <x:c r="Q22" s="62" t="str">
        <x:v>未来计划节点</x:v>
      </x:c>
      <x:c r="R22" s="62" t="str">
        <x:v>模拟</x:v>
      </x:c>
    </x:row>
    <x:row r="23" ht="27" customHeight="1">
      <x:c r="A23" s="52" t="str">
        <x:v>P-H014</x:v>
      </x:c>
      <x:c r="B23" s="52" t="str">
        <x:v>H014-N017</x:v>
      </x:c>
      <x:c r="C23" s="52" t="str">
        <x:v>试制项目结项</x:v>
      </x:c>
      <x:c r="D23" s="52" t="str">
        <x:v>项目交付</x:v>
      </x:c>
      <x:c r="E23" s="52" t="str">
        <x:v>V1</x:v>
      </x:c>
      <x:c r="F23" s="53" t="n">
        <x:v>46384</x:v>
      </x:c>
      <x:c r="G23" s="53"/>
      <x:c r="H23" s="88" t="str">
        <x:v>未核实</x:v>
      </x:c>
      <x:c r="I23" s="88" t="str">
        <x:v>有效</x:v>
      </x:c>
      <x:c r="J23" s="52" t="str">
        <x:v>项目部</x:v>
      </x:c>
      <x:c r="K23" s="52" t="str">
        <x:v>王工</x:v>
      </x:c>
      <x:c r="L23" s="52" t="str">
        <x:v>内部计划（演示）</x:v>
      </x:c>
      <x:c r="M23" s="86" t="str">
        <x:f>IF(I23&lt;&gt;"有效","已取消",IF(F23&gt;'00_使用说明'!$B$8,"未到期",IF(OR(H23&lt;&gt;"已核实",G23=""),"待核对",IF(G23&lt;=F23,"按期完成","延期完成"))))</x:f>
        <x:v>未到期</x:v>
      </x:c>
      <x:c r="N23" s="86" t="str">
        <x:f>IF(AND(H23="已核实",ISNUMBER(G23),ISNUMBER(F23)),G23-F23,"")</x:f>
      </x:c>
      <x:c r="O23" s="86" t="n">
        <x:f>IF(AND(I23="有效",F23&lt;='00_使用说明'!$B$8),1,0)</x:f>
        <x:v>0</x:v>
      </x:c>
      <x:c r="P23" s="52" t="str">
        <x:v>R-DEL</x:v>
      </x:c>
      <x:c r="Q23" s="52" t="str">
        <x:v>未来计划节点</x:v>
      </x:c>
      <x:c r="R23" s="52" t="str">
        <x:v>模拟</x:v>
      </x:c>
    </x:row>
    <x:row r="24" ht="27" customHeight="1">
      <x:c r="A24" s="62" t="str">
        <x:v>P-H028</x:v>
      </x:c>
      <x:c r="B24" s="62" t="str">
        <x:v>H028-N001</x:v>
      </x:c>
      <x:c r="C24" s="62" t="str">
        <x:v>合同签订</x:v>
      </x:c>
      <x:c r="D24" s="62" t="str">
        <x:v>合同签订</x:v>
      </x:c>
      <x:c r="E24" s="62" t="str">
        <x:v>V2</x:v>
      </x:c>
      <x:c r="F24" s="63" t="n">
        <x:v>46267</x:v>
      </x:c>
      <x:c r="G24" s="63" t="n">
        <x:v>46267</x:v>
      </x:c>
      <x:c r="H24" s="88" t="str">
        <x:v>已核实</x:v>
      </x:c>
      <x:c r="I24" s="88" t="str">
        <x:v>有效</x:v>
      </x:c>
      <x:c r="J24" s="62" t="str">
        <x:v>经营部</x:v>
      </x:c>
      <x:c r="K24" s="62" t="str">
        <x:v>张工</x:v>
      </x:c>
      <x:c r="L24" s="62" t="str">
        <x:v>合同约定（演示，未核实）</x:v>
      </x:c>
      <x:c r="M24" s="86" t="str">
        <x:f>IF(I24&lt;&gt;"有效","已取消",IF(F24&gt;'00_使用说明'!$B$8,"未到期",IF(OR(H24&lt;&gt;"已核实",G24=""),"待核对",IF(G24&lt;=F24,"按期完成","延期完成"))))</x:f>
        <x:v>按期完成</x:v>
      </x:c>
      <x:c r="N24" s="86" t="n">
        <x:f>IF(AND(H24="已核实",ISNUMBER(G24),ISNUMBER(F24)),G24-F24,"")</x:f>
        <x:v>0</x:v>
      </x:c>
      <x:c r="O24" s="86" t="n">
        <x:f>IF(AND(I24="有效",F24&lt;='00_使用说明'!$B$8),1,0)</x:f>
        <x:v>1</x:v>
      </x:c>
      <x:c r="P24" s="62" t="str">
        <x:v>R-CON</x:v>
      </x:c>
      <x:c r="Q24" s="62" t="str">
        <x:v>已核实样例</x:v>
      </x:c>
      <x:c r="R24" s="62" t="str">
        <x:v>模拟</x:v>
      </x:c>
    </x:row>
    <x:row r="25" ht="27" customHeight="1">
      <x:c r="A25" s="52" t="str">
        <x:v>P-H028</x:v>
      </x:c>
      <x:c r="B25" s="52" t="str">
        <x:v>H028-N002</x:v>
      </x:c>
      <x:c r="C25" s="52" t="str">
        <x:v>开工准备确认</x:v>
      </x:c>
      <x:c r="D25" s="52" t="str">
        <x:v>开工准备</x:v>
      </x:c>
      <x:c r="E25" s="52" t="str">
        <x:v>V2</x:v>
      </x:c>
      <x:c r="F25" s="53" t="n">
        <x:v>46271</x:v>
      </x:c>
      <x:c r="G25" s="53" t="n">
        <x:v>46271</x:v>
      </x:c>
      <x:c r="H25" s="88" t="str">
        <x:v>已核实</x:v>
      </x:c>
      <x:c r="I25" s="88" t="str">
        <x:v>有效</x:v>
      </x:c>
      <x:c r="J25" s="52" t="str">
        <x:v>项目部</x:v>
      </x:c>
      <x:c r="K25" s="52" t="str">
        <x:v>张工</x:v>
      </x:c>
      <x:c r="L25" s="52" t="str">
        <x:v>内部计划（演示）</x:v>
      </x:c>
      <x:c r="M25" s="86" t="str">
        <x:f>IF(I25&lt;&gt;"有效","已取消",IF(F25&gt;'00_使用说明'!$B$8,"未到期",IF(OR(H25&lt;&gt;"已核实",G25=""),"待核对",IF(G25&lt;=F25,"按期完成","延期完成"))))</x:f>
        <x:v>按期完成</x:v>
      </x:c>
      <x:c r="N25" s="86" t="n">
        <x:f>IF(AND(H25="已核实",ISNUMBER(G25),ISNUMBER(F25)),G25-F25,"")</x:f>
        <x:v>0</x:v>
      </x:c>
      <x:c r="O25" s="86" t="n">
        <x:f>IF(AND(I25="有效",F25&lt;='00_使用说明'!$B$8),1,0)</x:f>
        <x:v>1</x:v>
      </x:c>
      <x:c r="P25" s="52" t="str">
        <x:v>R-START</x:v>
      </x:c>
      <x:c r="Q25" s="52" t="str">
        <x:v>已核实样例</x:v>
      </x:c>
      <x:c r="R25" s="52" t="str">
        <x:v>模拟</x:v>
      </x:c>
    </x:row>
    <x:row r="26" ht="27" customHeight="1">
      <x:c r="A26" s="62" t="str">
        <x:v>P-H028</x:v>
      </x:c>
      <x:c r="B26" s="62" t="str">
        <x:v>H028-N003</x:v>
      </x:c>
      <x:c r="C26" s="62" t="str">
        <x:v>设计输入资料确认</x:v>
      </x:c>
      <x:c r="D26" s="62" t="str">
        <x:v>设计资料</x:v>
      </x:c>
      <x:c r="E26" s="62" t="str">
        <x:v>V2</x:v>
      </x:c>
      <x:c r="F26" s="63" t="n">
        <x:v>46278</x:v>
      </x:c>
      <x:c r="G26" s="63" t="n">
        <x:v>46277</x:v>
      </x:c>
      <x:c r="H26" s="88" t="str">
        <x:v>已核实</x:v>
      </x:c>
      <x:c r="I26" s="88" t="str">
        <x:v>有效</x:v>
      </x:c>
      <x:c r="J26" s="62" t="str">
        <x:v>设计部</x:v>
      </x:c>
      <x:c r="K26" s="62" t="str">
        <x:v>设计主管</x:v>
      </x:c>
      <x:c r="L26" s="62" t="str">
        <x:v>内部计划（演示）</x:v>
      </x:c>
      <x:c r="M26" s="86" t="str">
        <x:f>IF(I26&lt;&gt;"有效","已取消",IF(F26&gt;'00_使用说明'!$B$8,"未到期",IF(OR(H26&lt;&gt;"已核实",G26=""),"待核对",IF(G26&lt;=F26,"按期完成","延期完成"))))</x:f>
        <x:v>按期完成</x:v>
      </x:c>
      <x:c r="N26" s="86" t="n">
        <x:f>IF(AND(H26="已核实",ISNUMBER(G26),ISNUMBER(F26)),G26-F26,"")</x:f>
        <x:v>-1</x:v>
      </x:c>
      <x:c r="O26" s="86" t="n">
        <x:f>IF(AND(I26="有效",F26&lt;='00_使用说明'!$B$8),1,0)</x:f>
        <x:v>1</x:v>
      </x:c>
      <x:c r="P26" s="62" t="str">
        <x:v>R-DES</x:v>
      </x:c>
      <x:c r="Q26" s="62" t="str">
        <x:v>已核实样例</x:v>
      </x:c>
      <x:c r="R26" s="62" t="str">
        <x:v>模拟</x:v>
      </x:c>
    </x:row>
    <x:row r="27" ht="27" customHeight="1">
      <x:c r="A27" s="52" t="str">
        <x:v>P-H028</x:v>
      </x:c>
      <x:c r="B27" s="52" t="str">
        <x:v>H028-N004</x:v>
      </x:c>
      <x:c r="C27" s="52" t="str">
        <x:v>关键设备技术协议</x:v>
      </x:c>
      <x:c r="D27" s="52" t="str">
        <x:v>采购确认</x:v>
      </x:c>
      <x:c r="E27" s="52" t="str">
        <x:v>V2</x:v>
      </x:c>
      <x:c r="F27" s="53" t="n">
        <x:v>46285</x:v>
      </x:c>
      <x:c r="G27" s="53" t="n">
        <x:v>46285</x:v>
      </x:c>
      <x:c r="H27" s="88" t="str">
        <x:v>已核实</x:v>
      </x:c>
      <x:c r="I27" s="88" t="str">
        <x:v>有效</x:v>
      </x:c>
      <x:c r="J27" s="52" t="str">
        <x:v>采购部</x:v>
      </x:c>
      <x:c r="K27" s="52" t="str">
        <x:v>采购主管</x:v>
      </x:c>
      <x:c r="L27" s="52" t="str">
        <x:v>内部计划（演示）</x:v>
      </x:c>
      <x:c r="M27" s="86" t="str">
        <x:f>IF(I27&lt;&gt;"有效","已取消",IF(F27&gt;'00_使用说明'!$B$8,"未到期",IF(OR(H27&lt;&gt;"已核实",G27=""),"待核对",IF(G27&lt;=F27,"按期完成","延期完成"))))</x:f>
        <x:v>按期完成</x:v>
      </x:c>
      <x:c r="N27" s="86" t="n">
        <x:f>IF(AND(H27="已核实",ISNUMBER(G27),ISNUMBER(F27)),G27-F27,"")</x:f>
        <x:v>0</x:v>
      </x:c>
      <x:c r="O27" s="86" t="n">
        <x:f>IF(AND(I27="有效",F27&lt;='00_使用说明'!$B$8),1,0)</x:f>
        <x:v>1</x:v>
      </x:c>
      <x:c r="P27" s="52" t="str">
        <x:v>R-PROC</x:v>
      </x:c>
      <x:c r="Q27" s="52" t="str">
        <x:v>已核实样例</x:v>
      </x:c>
      <x:c r="R27" s="52" t="str">
        <x:v>模拟</x:v>
      </x:c>
    </x:row>
    <x:row r="28" ht="27" customHeight="1">
      <x:c r="A28" s="62" t="str">
        <x:v>P-H028</x:v>
      </x:c>
      <x:c r="B28" s="62" t="str">
        <x:v>H028-N005</x:v>
      </x:c>
      <x:c r="C28" s="62" t="str">
        <x:v>设计资料交付</x:v>
      </x:c>
      <x:c r="D28" s="62" t="str">
        <x:v>设计资料</x:v>
      </x:c>
      <x:c r="E28" s="62" t="str">
        <x:v>V2</x:v>
      </x:c>
      <x:c r="F28" s="63" t="n">
        <x:v>46305</x:v>
      </x:c>
      <x:c r="G28" s="63" t="n">
        <x:v>46305</x:v>
      </x:c>
      <x:c r="H28" s="88" t="str">
        <x:v>已核实</x:v>
      </x:c>
      <x:c r="I28" s="88" t="str">
        <x:v>有效</x:v>
      </x:c>
      <x:c r="J28" s="62" t="str">
        <x:v>设计部</x:v>
      </x:c>
      <x:c r="K28" s="62" t="str">
        <x:v>设计主管</x:v>
      </x:c>
      <x:c r="L28" s="62" t="str">
        <x:v>内部计划（演示）</x:v>
      </x:c>
      <x:c r="M28" s="86" t="str">
        <x:f>IF(I28&lt;&gt;"有效","已取消",IF(F28&gt;'00_使用说明'!$B$8,"未到期",IF(OR(H28&lt;&gt;"已核实",G28=""),"待核对",IF(G28&lt;=F28,"按期完成","延期完成"))))</x:f>
        <x:v>按期完成</x:v>
      </x:c>
      <x:c r="N28" s="86" t="n">
        <x:f>IF(AND(H28="已核实",ISNUMBER(G28),ISNUMBER(F28)),G28-F28,"")</x:f>
        <x:v>0</x:v>
      </x:c>
      <x:c r="O28" s="86" t="n">
        <x:f>IF(AND(I28="有效",F28&lt;='00_使用说明'!$B$8),1,0)</x:f>
        <x:v>1</x:v>
      </x:c>
      <x:c r="P28" s="62" t="str">
        <x:v>R-DES</x:v>
      </x:c>
      <x:c r="Q28" s="62" t="str">
        <x:v>已核实样例</x:v>
      </x:c>
      <x:c r="R28" s="62" t="str">
        <x:v>模拟</x:v>
      </x:c>
    </x:row>
    <x:row r="29" ht="27" customHeight="1">
      <x:c r="A29" s="52" t="str">
        <x:v>P-H028</x:v>
      </x:c>
      <x:c r="B29" s="52" t="str">
        <x:v>H028-N006</x:v>
      </x:c>
      <x:c r="C29" s="52" t="str">
        <x:v>图纸审核</x:v>
      </x:c>
      <x:c r="D29" s="52" t="str">
        <x:v>图纸审核</x:v>
      </x:c>
      <x:c r="E29" s="52" t="str">
        <x:v>V2</x:v>
      </x:c>
      <x:c r="F29" s="53" t="n">
        <x:v>46307</x:v>
      </x:c>
      <x:c r="G29" s="53" t="n">
        <x:v>46310</x:v>
      </x:c>
      <x:c r="H29" s="88" t="str">
        <x:v>已核实</x:v>
      </x:c>
      <x:c r="I29" s="88" t="str">
        <x:v>有效</x:v>
      </x:c>
      <x:c r="J29" s="52" t="str">
        <x:v>设计部</x:v>
      </x:c>
      <x:c r="K29" s="52" t="str">
        <x:v>设计主管</x:v>
      </x:c>
      <x:c r="L29" s="52" t="str">
        <x:v>内部计划（演示）</x:v>
      </x:c>
      <x:c r="M29" s="86" t="str">
        <x:f>IF(I29&lt;&gt;"有效","已取消",IF(F29&gt;'00_使用说明'!$B$8,"未到期",IF(OR(H29&lt;&gt;"已核实",G29=""),"待核对",IF(G29&lt;=F29,"按期完成","延期完成"))))</x:f>
        <x:v>延期完成</x:v>
      </x:c>
      <x:c r="N29" s="86" t="n">
        <x:f>IF(AND(H29="已核实",ISNUMBER(G29),ISNUMBER(F29)),G29-F29,"")</x:f>
        <x:v>3</x:v>
      </x:c>
      <x:c r="O29" s="86" t="n">
        <x:f>IF(AND(I29="有效",F29&lt;='00_使用说明'!$B$8),1,0)</x:f>
        <x:v>1</x:v>
      </x:c>
      <x:c r="P29" s="52" t="str">
        <x:v>R-DES</x:v>
      </x:c>
      <x:c r="Q29" s="52" t="str">
        <x:v>延期完成（演示）</x:v>
      </x:c>
      <x:c r="R29" s="52" t="str">
        <x:v>模拟</x:v>
      </x:c>
    </x:row>
    <x:row r="30" ht="27" customHeight="1">
      <x:c r="A30" s="62" t="str">
        <x:v>P-H028</x:v>
      </x:c>
      <x:c r="B30" s="62" t="str">
        <x:v>H028-N007</x:v>
      </x:c>
      <x:c r="C30" s="62" t="str">
        <x:v>船体材料确认</x:v>
      </x:c>
      <x:c r="D30" s="62" t="str">
        <x:v>采购确认</x:v>
      </x:c>
      <x:c r="E30" s="62" t="str">
        <x:v>V2</x:v>
      </x:c>
      <x:c r="F30" s="63" t="n">
        <x:v>46308</x:v>
      </x:c>
      <x:c r="G30" s="63" t="n">
        <x:v>46308</x:v>
      </x:c>
      <x:c r="H30" s="88" t="str">
        <x:v>已核实</x:v>
      </x:c>
      <x:c r="I30" s="88" t="str">
        <x:v>有效</x:v>
      </x:c>
      <x:c r="J30" s="62" t="str">
        <x:v>采购部</x:v>
      </x:c>
      <x:c r="K30" s="62" t="str">
        <x:v>采购主管</x:v>
      </x:c>
      <x:c r="L30" s="62" t="str">
        <x:v>内部计划（演示）</x:v>
      </x:c>
      <x:c r="M30" s="86" t="str">
        <x:f>IF(I30&lt;&gt;"有效","已取消",IF(F30&gt;'00_使用说明'!$B$8,"未到期",IF(OR(H30&lt;&gt;"已核实",G30=""),"待核对",IF(G30&lt;=F30,"按期完成","延期完成"))))</x:f>
        <x:v>按期完成</x:v>
      </x:c>
      <x:c r="N30" s="86" t="n">
        <x:f>IF(AND(H30="已核实",ISNUMBER(G30),ISNUMBER(F30)),G30-F30,"")</x:f>
        <x:v>0</x:v>
      </x:c>
      <x:c r="O30" s="86" t="n">
        <x:f>IF(AND(I30="有效",F30&lt;='00_使用说明'!$B$8),1,0)</x:f>
        <x:v>1</x:v>
      </x:c>
      <x:c r="P30" s="62" t="str">
        <x:v>R-PROC</x:v>
      </x:c>
      <x:c r="Q30" s="62" t="str">
        <x:v>已核实样例</x:v>
      </x:c>
      <x:c r="R30" s="62" t="str">
        <x:v>模拟</x:v>
      </x:c>
    </x:row>
    <x:row r="31" ht="27" customHeight="1">
      <x:c r="A31" s="52" t="str">
        <x:v>P-H028</x:v>
      </x:c>
      <x:c r="B31" s="52" t="str">
        <x:v>H028-N008</x:v>
      </x:c>
      <x:c r="C31" s="52" t="str">
        <x:v>资料签收</x:v>
      </x:c>
      <x:c r="D31" s="52" t="str">
        <x:v>资料签收</x:v>
      </x:c>
      <x:c r="E31" s="52" t="str">
        <x:v>V2</x:v>
      </x:c>
      <x:c r="F31" s="53" t="n">
        <x:v>46311</x:v>
      </x:c>
      <x:c r="G31" s="53"/>
      <x:c r="H31" s="88" t="str">
        <x:v>待核实</x:v>
      </x:c>
      <x:c r="I31" s="88" t="str">
        <x:v>有效</x:v>
      </x:c>
      <x:c r="J31" s="52" t="str">
        <x:v>项目部</x:v>
      </x:c>
      <x:c r="K31" s="52" t="str">
        <x:v>张工</x:v>
      </x:c>
      <x:c r="L31" s="52" t="str">
        <x:v>内部计划（演示）</x:v>
      </x:c>
      <x:c r="M31" s="86" t="str">
        <x:f>IF(I31&lt;&gt;"有效","已取消",IF(F31&gt;'00_使用说明'!$B$8,"未到期",IF(OR(H31&lt;&gt;"已核实",G31=""),"待核对",IF(G31&lt;=F31,"按期完成","延期完成"))))</x:f>
        <x:v>待核对</x:v>
      </x:c>
      <x:c r="N31" s="86" t="str">
        <x:f>IF(AND(H31="已核实",ISNUMBER(G31),ISNUMBER(F31)),G31-F31,"")</x:f>
      </x:c>
      <x:c r="O31" s="86" t="n">
        <x:f>IF(AND(I31="有效",F31&lt;='00_使用说明'!$B$8),1,0)</x:f>
        <x:v>1</x:v>
      </x:c>
      <x:c r="P31" s="52" t="str">
        <x:v>R-DOC</x:v>
      </x:c>
      <x:c r="Q31" s="52" t="str">
        <x:v>待补充业务核实依据</x:v>
      </x:c>
      <x:c r="R31" s="52" t="str">
        <x:v>模拟</x:v>
      </x:c>
    </x:row>
    <x:row r="32" ht="27" customHeight="1">
      <x:c r="A32" s="62" t="str">
        <x:v>P-H028</x:v>
      </x:c>
      <x:c r="B32" s="62" t="str">
        <x:v>H028-N009</x:v>
      </x:c>
      <x:c r="C32" s="62" t="str">
        <x:v>生产物料齐套检查</x:v>
      </x:c>
      <x:c r="D32" s="62" t="str">
        <x:v>生产节点</x:v>
      </x:c>
      <x:c r="E32" s="62" t="str">
        <x:v>V2</x:v>
      </x:c>
      <x:c r="F32" s="63" t="n">
        <x:v>46312</x:v>
      </x:c>
      <x:c r="G32" s="63" t="n">
        <x:v>46311</x:v>
      </x:c>
      <x:c r="H32" s="88" t="str">
        <x:v>已核实</x:v>
      </x:c>
      <x:c r="I32" s="88" t="str">
        <x:v>有效</x:v>
      </x:c>
      <x:c r="J32" s="62" t="str">
        <x:v>生产部</x:v>
      </x:c>
      <x:c r="K32" s="62" t="str">
        <x:v>生产主管</x:v>
      </x:c>
      <x:c r="L32" s="62" t="str">
        <x:v>内部计划（演示）</x:v>
      </x:c>
      <x:c r="M32" s="86" t="str">
        <x:f>IF(I32&lt;&gt;"有效","已取消",IF(F32&gt;'00_使用说明'!$B$8,"未到期",IF(OR(H32&lt;&gt;"已核实",G32=""),"待核对",IF(G32&lt;=F32,"按期完成","延期完成"))))</x:f>
        <x:v>按期完成</x:v>
      </x:c>
      <x:c r="N32" s="86" t="n">
        <x:f>IF(AND(H32="已核实",ISNUMBER(G32),ISNUMBER(F32)),G32-F32,"")</x:f>
        <x:v>-1</x:v>
      </x:c>
      <x:c r="O32" s="86" t="n">
        <x:f>IF(AND(I32="有效",F32&lt;='00_使用说明'!$B$8),1,0)</x:f>
        <x:v>1</x:v>
      </x:c>
      <x:c r="P32" s="62" t="str">
        <x:v>R-PROD</x:v>
      </x:c>
      <x:c r="Q32" s="62" t="str">
        <x:v>已核实样例</x:v>
      </x:c>
      <x:c r="R32" s="62" t="str">
        <x:v>模拟</x:v>
      </x:c>
    </x:row>
    <x:row r="33" ht="27" customHeight="1">
      <x:c r="A33" s="52" t="str">
        <x:v>P-H028</x:v>
      </x:c>
      <x:c r="B33" s="52" t="str">
        <x:v>H028-N010</x:v>
      </x:c>
      <x:c r="C33" s="52" t="str">
        <x:v>采购确认</x:v>
      </x:c>
      <x:c r="D33" s="52" t="str">
        <x:v>采购确认</x:v>
      </x:c>
      <x:c r="E33" s="52" t="str">
        <x:v>V2</x:v>
      </x:c>
      <x:c r="F33" s="53" t="n">
        <x:v>46313</x:v>
      </x:c>
      <x:c r="G33" s="53" t="n">
        <x:v>46313</x:v>
      </x:c>
      <x:c r="H33" s="88" t="str">
        <x:v>已核实</x:v>
      </x:c>
      <x:c r="I33" s="88" t="str">
        <x:v>有效</x:v>
      </x:c>
      <x:c r="J33" s="52" t="str">
        <x:v>采购部</x:v>
      </x:c>
      <x:c r="K33" s="52" t="str">
        <x:v>采购主管</x:v>
      </x:c>
      <x:c r="L33" s="52" t="str">
        <x:v>内部计划（演示）</x:v>
      </x:c>
      <x:c r="M33" s="86" t="str">
        <x:f>IF(I33&lt;&gt;"有效","已取消",IF(F33&gt;'00_使用说明'!$B$8,"未到期",IF(OR(H33&lt;&gt;"已核实",G33=""),"待核对",IF(G33&lt;=F33,"按期完成","延期完成"))))</x:f>
        <x:v>按期完成</x:v>
      </x:c>
      <x:c r="N33" s="86" t="n">
        <x:f>IF(AND(H33="已核实",ISNUMBER(G33),ISNUMBER(F33)),G33-F33,"")</x:f>
        <x:v>0</x:v>
      </x:c>
      <x:c r="O33" s="86" t="n">
        <x:f>IF(AND(I33="有效",F33&lt;='00_使用说明'!$B$8),1,0)</x:f>
        <x:v>1</x:v>
      </x:c>
      <x:c r="P33" s="52" t="str">
        <x:v>R-PROC</x:v>
      </x:c>
      <x:c r="Q33" s="52" t="str">
        <x:v>已核实样例</x:v>
      </x:c>
      <x:c r="R33" s="52" t="str">
        <x:v>模拟</x:v>
      </x:c>
    </x:row>
    <x:row r="34" ht="27" customHeight="1">
      <x:c r="A34" s="62" t="str">
        <x:v>P-H028</x:v>
      </x:c>
      <x:c r="B34" s="62" t="str">
        <x:v>H028-N011</x:v>
      </x:c>
      <x:c r="C34" s="62" t="str">
        <x:v>阶段收款</x:v>
      </x:c>
      <x:c r="D34" s="62" t="str">
        <x:v>阶段收款</x:v>
      </x:c>
      <x:c r="E34" s="62" t="str">
        <x:v>V2</x:v>
      </x:c>
      <x:c r="F34" s="63" t="n">
        <x:v>46321</x:v>
      </x:c>
      <x:c r="G34" s="63"/>
      <x:c r="H34" s="88" t="str">
        <x:v>未核实</x:v>
      </x:c>
      <x:c r="I34" s="88" t="str">
        <x:v>有效</x:v>
      </x:c>
      <x:c r="J34" s="62" t="str">
        <x:v>财务部</x:v>
      </x:c>
      <x:c r="K34" s="62" t="str">
        <x:v>财务主管</x:v>
      </x:c>
      <x:c r="L34" s="62" t="str">
        <x:v>合同约定（演示，未核实）</x:v>
      </x:c>
      <x:c r="M34" s="86" t="str">
        <x:f>IF(I34&lt;&gt;"有效","已取消",IF(F34&gt;'00_使用说明'!$B$8,"未到期",IF(OR(H34&lt;&gt;"已核实",G34=""),"待核对",IF(G34&lt;=F34,"按期完成","延期完成"))))</x:f>
        <x:v>未到期</x:v>
      </x:c>
      <x:c r="N34" s="86" t="str">
        <x:f>IF(AND(H34="已核实",ISNUMBER(G34),ISNUMBER(F34)),G34-F34,"")</x:f>
      </x:c>
      <x:c r="O34" s="86" t="n">
        <x:f>IF(AND(I34="有效",F34&lt;='00_使用说明'!$B$8),1,0)</x:f>
        <x:v>0</x:v>
      </x:c>
      <x:c r="P34" s="62" t="str">
        <x:v>R-REC</x:v>
      </x:c>
      <x:c r="Q34" s="62" t="str">
        <x:v>未来计划节点</x:v>
      </x:c>
      <x:c r="R34" s="62" t="str">
        <x:v>模拟</x:v>
      </x:c>
    </x:row>
    <x:row r="35" ht="27" customHeight="1">
      <x:c r="A35" s="52" t="str">
        <x:v>P-H028</x:v>
      </x:c>
      <x:c r="B35" s="52" t="str">
        <x:v>H028-N012</x:v>
      </x:c>
      <x:c r="C35" s="52" t="str">
        <x:v>初步计划会审</x:v>
      </x:c>
      <x:c r="D35" s="52" t="str">
        <x:v>开工准备</x:v>
      </x:c>
      <x:c r="E35" s="52" t="str">
        <x:v>V2</x:v>
      </x:c>
      <x:c r="F35" s="53" t="n">
        <x:v>46280</x:v>
      </x:c>
      <x:c r="G35" s="53" t="n">
        <x:v>46279</x:v>
      </x:c>
      <x:c r="H35" s="88" t="str">
        <x:v>已核实</x:v>
      </x:c>
      <x:c r="I35" s="88" t="str">
        <x:v>有效</x:v>
      </x:c>
      <x:c r="J35" s="52" t="str">
        <x:v>项目部</x:v>
      </x:c>
      <x:c r="K35" s="52" t="str">
        <x:v>张工</x:v>
      </x:c>
      <x:c r="L35" s="52" t="str">
        <x:v>内部计划（演示）</x:v>
      </x:c>
      <x:c r="M35" s="86" t="str">
        <x:f>IF(I35&lt;&gt;"有效","已取消",IF(F35&gt;'00_使用说明'!$B$8,"未到期",IF(OR(H35&lt;&gt;"已核实",G35=""),"待核对",IF(G35&lt;=F35,"按期完成","延期完成"))))</x:f>
        <x:v>按期完成</x:v>
      </x:c>
      <x:c r="N35" s="86" t="n">
        <x:f>IF(AND(H35="已核实",ISNUMBER(G35),ISNUMBER(F35)),G35-F35,"")</x:f>
        <x:v>-1</x:v>
      </x:c>
      <x:c r="O35" s="86" t="n">
        <x:f>IF(AND(I35="有效",F35&lt;='00_使用说明'!$B$8),1,0)</x:f>
        <x:v>1</x:v>
      </x:c>
      <x:c r="P35" s="52" t="str">
        <x:v>R-START</x:v>
      </x:c>
      <x:c r="Q35" s="52" t="str">
        <x:v>已核实样例</x:v>
      </x:c>
      <x:c r="R35" s="52" t="str">
        <x:v>模拟</x:v>
      </x:c>
    </x:row>
    <x:row r="36" ht="27" customHeight="1">
      <x:c r="A36" s="62" t="str">
        <x:v>P-H028</x:v>
      </x:c>
      <x:c r="B36" s="62" t="str">
        <x:v>H028-N013</x:v>
      </x:c>
      <x:c r="C36" s="62" t="str">
        <x:v>设备验收</x:v>
      </x:c>
      <x:c r="D36" s="62" t="str">
        <x:v>验收节点</x:v>
      </x:c>
      <x:c r="E36" s="62" t="str">
        <x:v>V2</x:v>
      </x:c>
      <x:c r="F36" s="63" t="n">
        <x:v>46323</x:v>
      </x:c>
      <x:c r="G36" s="63"/>
      <x:c r="H36" s="88" t="str">
        <x:v>未核实</x:v>
      </x:c>
      <x:c r="I36" s="88" t="str">
        <x:v>有效</x:v>
      </x:c>
      <x:c r="J36" s="62" t="str">
        <x:v>生产部</x:v>
      </x:c>
      <x:c r="K36" s="62" t="str">
        <x:v>生产主管</x:v>
      </x:c>
      <x:c r="L36" s="62" t="str">
        <x:v>内部计划（演示）</x:v>
      </x:c>
      <x:c r="M36" s="86" t="str">
        <x:f>IF(I36&lt;&gt;"有效","已取消",IF(F36&gt;'00_使用说明'!$B$8,"未到期",IF(OR(H36&lt;&gt;"已核实",G36=""),"待核对",IF(G36&lt;=F36,"按期完成","延期完成"))))</x:f>
        <x:v>未到期</x:v>
      </x:c>
      <x:c r="N36" s="86" t="str">
        <x:f>IF(AND(H36="已核实",ISNUMBER(G36),ISNUMBER(F36)),G36-F36,"")</x:f>
      </x:c>
      <x:c r="O36" s="86" t="n">
        <x:f>IF(AND(I36="有效",F36&lt;='00_使用说明'!$B$8),1,0)</x:f>
        <x:v>0</x:v>
      </x:c>
      <x:c r="P36" s="62" t="str">
        <x:v>R-ACC</x:v>
      </x:c>
      <x:c r="Q36" s="62" t="str">
        <x:v>未来计划节点</x:v>
      </x:c>
      <x:c r="R36" s="62" t="str">
        <x:v>模拟</x:v>
      </x:c>
    </x:row>
    <x:row r="37" ht="27" customHeight="1">
      <x:c r="A37" s="52" t="str">
        <x:v>P-H028</x:v>
      </x:c>
      <x:c r="B37" s="52" t="str">
        <x:v>H028-N014</x:v>
      </x:c>
      <x:c r="C37" s="52" t="str">
        <x:v>技术澄清完成</x:v>
      </x:c>
      <x:c r="D37" s="52" t="str">
        <x:v>设计资料</x:v>
      </x:c>
      <x:c r="E37" s="52" t="str">
        <x:v>V2</x:v>
      </x:c>
      <x:c r="F37" s="53" t="n">
        <x:v>46283</x:v>
      </x:c>
      <x:c r="G37" s="53" t="n">
        <x:v>46283</x:v>
      </x:c>
      <x:c r="H37" s="88" t="str">
        <x:v>已核实</x:v>
      </x:c>
      <x:c r="I37" s="88" t="str">
        <x:v>有效</x:v>
      </x:c>
      <x:c r="J37" s="52" t="str">
        <x:v>设计部</x:v>
      </x:c>
      <x:c r="K37" s="52" t="str">
        <x:v>设计主管</x:v>
      </x:c>
      <x:c r="L37" s="52" t="str">
        <x:v>内部计划（演示）</x:v>
      </x:c>
      <x:c r="M37" s="86" t="str">
        <x:f>IF(I37&lt;&gt;"有效","已取消",IF(F37&gt;'00_使用说明'!$B$8,"未到期",IF(OR(H37&lt;&gt;"已核实",G37=""),"待核对",IF(G37&lt;=F37,"按期完成","延期完成"))))</x:f>
        <x:v>按期完成</x:v>
      </x:c>
      <x:c r="N37" s="86" t="n">
        <x:f>IF(AND(H37="已核实",ISNUMBER(G37),ISNUMBER(F37)),G37-F37,"")</x:f>
        <x:v>0</x:v>
      </x:c>
      <x:c r="O37" s="86" t="n">
        <x:f>IF(AND(I37="有效",F37&lt;='00_使用说明'!$B$8),1,0)</x:f>
        <x:v>1</x:v>
      </x:c>
      <x:c r="P37" s="52" t="str">
        <x:v>R-DES</x:v>
      </x:c>
      <x:c r="Q37" s="52" t="str">
        <x:v>已核实样例</x:v>
      </x:c>
      <x:c r="R37" s="52" t="str">
        <x:v>模拟</x:v>
      </x:c>
    </x:row>
    <x:row r="38" ht="27" customHeight="1">
      <x:c r="A38" s="62" t="str">
        <x:v>P-H028</x:v>
      </x:c>
      <x:c r="B38" s="62" t="str">
        <x:v>H028-N015</x:v>
      </x:c>
      <x:c r="C38" s="62" t="str">
        <x:v>首批材料订单确认</x:v>
      </x:c>
      <x:c r="D38" s="62" t="str">
        <x:v>采购确认</x:v>
      </x:c>
      <x:c r="E38" s="62" t="str">
        <x:v>V2</x:v>
      </x:c>
      <x:c r="F38" s="63" t="n">
        <x:v>46289</x:v>
      </x:c>
      <x:c r="G38" s="63" t="n">
        <x:v>46288</x:v>
      </x:c>
      <x:c r="H38" s="88" t="str">
        <x:v>已核实</x:v>
      </x:c>
      <x:c r="I38" s="88" t="str">
        <x:v>有效</x:v>
      </x:c>
      <x:c r="J38" s="62" t="str">
        <x:v>采购部</x:v>
      </x:c>
      <x:c r="K38" s="62" t="str">
        <x:v>采购主管</x:v>
      </x:c>
      <x:c r="L38" s="62" t="str">
        <x:v>内部计划（演示）</x:v>
      </x:c>
      <x:c r="M38" s="86" t="str">
        <x:f>IF(I38&lt;&gt;"有效","已取消",IF(F38&gt;'00_使用说明'!$B$8,"未到期",IF(OR(H38&lt;&gt;"已核实",G38=""),"待核对",IF(G38&lt;=F38,"按期完成","延期完成"))))</x:f>
        <x:v>按期完成</x:v>
      </x:c>
      <x:c r="N38" s="86" t="n">
        <x:f>IF(AND(H38="已核实",ISNUMBER(G38),ISNUMBER(F38)),G38-F38,"")</x:f>
        <x:v>-1</x:v>
      </x:c>
      <x:c r="O38" s="86" t="n">
        <x:f>IF(AND(I38="有效",F38&lt;='00_使用说明'!$B$8),1,0)</x:f>
        <x:v>1</x:v>
      </x:c>
      <x:c r="P38" s="62" t="str">
        <x:v>R-PROC</x:v>
      </x:c>
      <x:c r="Q38" s="62" t="str">
        <x:v>已核实样例</x:v>
      </x:c>
      <x:c r="R38" s="62" t="str">
        <x:v>模拟</x:v>
      </x:c>
    </x:row>
    <x:row r="39" ht="27" customHeight="1">
      <x:c r="A39" s="52" t="str">
        <x:v>P-H028</x:v>
      </x:c>
      <x:c r="B39" s="52" t="str">
        <x:v>H028-N016</x:v>
      </x:c>
      <x:c r="C39" s="52" t="str">
        <x:v>质量计划确认</x:v>
      </x:c>
      <x:c r="D39" s="52" t="str">
        <x:v>验收节点</x:v>
      </x:c>
      <x:c r="E39" s="52" t="str">
        <x:v>V2</x:v>
      </x:c>
      <x:c r="F39" s="53" t="n">
        <x:v>46292</x:v>
      </x:c>
      <x:c r="G39" s="53" t="n">
        <x:v>46292</x:v>
      </x:c>
      <x:c r="H39" s="88" t="str">
        <x:v>已核实</x:v>
      </x:c>
      <x:c r="I39" s="88" t="str">
        <x:v>有效</x:v>
      </x:c>
      <x:c r="J39" s="52" t="str">
        <x:v>质检部</x:v>
      </x:c>
      <x:c r="K39" s="52" t="str">
        <x:v>质检主管</x:v>
      </x:c>
      <x:c r="L39" s="52" t="str">
        <x:v>内部计划（演示）</x:v>
      </x:c>
      <x:c r="M39" s="86" t="str">
        <x:f>IF(I39&lt;&gt;"有效","已取消",IF(F39&gt;'00_使用说明'!$B$8,"未到期",IF(OR(H39&lt;&gt;"已核实",G39=""),"待核对",IF(G39&lt;=F39,"按期完成","延期完成"))))</x:f>
        <x:v>按期完成</x:v>
      </x:c>
      <x:c r="N39" s="86" t="n">
        <x:f>IF(AND(H39="已核实",ISNUMBER(G39),ISNUMBER(F39)),G39-F39,"")</x:f>
        <x:v>0</x:v>
      </x:c>
      <x:c r="O39" s="86" t="n">
        <x:f>IF(AND(I39="有效",F39&lt;='00_使用说明'!$B$8),1,0)</x:f>
        <x:v>1</x:v>
      </x:c>
      <x:c r="P39" s="52" t="str">
        <x:v>R-ACC</x:v>
      </x:c>
      <x:c r="Q39" s="52" t="str">
        <x:v>已核实样例</x:v>
      </x:c>
      <x:c r="R39" s="52" t="str">
        <x:v>模拟</x:v>
      </x:c>
    </x:row>
    <x:row r="40" ht="27" customHeight="1">
      <x:c r="A40" s="62" t="str">
        <x:v>P-H028</x:v>
      </x:c>
      <x:c r="B40" s="62" t="str">
        <x:v>H028-N017</x:v>
      </x:c>
      <x:c r="C40" s="62" t="str">
        <x:v>合同资料归档</x:v>
      </x:c>
      <x:c r="D40" s="62" t="str">
        <x:v>资料签收</x:v>
      </x:c>
      <x:c r="E40" s="62" t="str">
        <x:v>V2</x:v>
      </x:c>
      <x:c r="F40" s="63" t="n">
        <x:v>46298</x:v>
      </x:c>
      <x:c r="G40" s="63" t="n">
        <x:v>46298</x:v>
      </x:c>
      <x:c r="H40" s="88" t="str">
        <x:v>已核实</x:v>
      </x:c>
      <x:c r="I40" s="88" t="str">
        <x:v>有效</x:v>
      </x:c>
      <x:c r="J40" s="62" t="str">
        <x:v>经营部</x:v>
      </x:c>
      <x:c r="K40" s="62" t="str">
        <x:v>经营主管</x:v>
      </x:c>
      <x:c r="L40" s="62" t="str">
        <x:v>内部计划（演示）</x:v>
      </x:c>
      <x:c r="M40" s="86" t="str">
        <x:f>IF(I40&lt;&gt;"有效","已取消",IF(F40&gt;'00_使用说明'!$B$8,"未到期",IF(OR(H40&lt;&gt;"已核实",G40=""),"待核对",IF(G40&lt;=F40,"按期完成","延期完成"))))</x:f>
        <x:v>按期完成</x:v>
      </x:c>
      <x:c r="N40" s="86" t="n">
        <x:f>IF(AND(H40="已核实",ISNUMBER(G40),ISNUMBER(F40)),G40-F40,"")</x:f>
        <x:v>0</x:v>
      </x:c>
      <x:c r="O40" s="86" t="n">
        <x:f>IF(AND(I40="有效",F40&lt;='00_使用说明'!$B$8),1,0)</x:f>
        <x:v>1</x:v>
      </x:c>
      <x:c r="P40" s="62" t="str">
        <x:v>R-DOC</x:v>
      </x:c>
      <x:c r="Q40" s="62" t="str">
        <x:v>已核实样例</x:v>
      </x:c>
      <x:c r="R40" s="62" t="str">
        <x:v>模拟</x:v>
      </x:c>
    </x:row>
    <x:row r="41" ht="27" customHeight="1">
      <x:c r="A41" s="52" t="str">
        <x:v>P-H028</x:v>
      </x:c>
      <x:c r="B41" s="52" t="str">
        <x:v>H028-N018</x:v>
      </x:c>
      <x:c r="C41" s="52" t="str">
        <x:v>产前协调会议</x:v>
      </x:c>
      <x:c r="D41" s="52" t="str">
        <x:v>生产节点</x:v>
      </x:c>
      <x:c r="E41" s="52" t="str">
        <x:v>V2</x:v>
      </x:c>
      <x:c r="F41" s="53" t="n">
        <x:v>46301</x:v>
      </x:c>
      <x:c r="G41" s="53" t="n">
        <x:v>46300</x:v>
      </x:c>
      <x:c r="H41" s="88" t="str">
        <x:v>已核实</x:v>
      </x:c>
      <x:c r="I41" s="88" t="str">
        <x:v>有效</x:v>
      </x:c>
      <x:c r="J41" s="52" t="str">
        <x:v>生产部</x:v>
      </x:c>
      <x:c r="K41" s="52" t="str">
        <x:v>生产主管</x:v>
      </x:c>
      <x:c r="L41" s="52" t="str">
        <x:v>内部计划（演示）</x:v>
      </x:c>
      <x:c r="M41" s="86" t="str">
        <x:f>IF(I41&lt;&gt;"有效","已取消",IF(F41&gt;'00_使用说明'!$B$8,"未到期",IF(OR(H41&lt;&gt;"已核实",G41=""),"待核对",IF(G41&lt;=F41,"按期完成","延期完成"))))</x:f>
        <x:v>按期完成</x:v>
      </x:c>
      <x:c r="N41" s="86" t="n">
        <x:f>IF(AND(H41="已核实",ISNUMBER(G41),ISNUMBER(F41)),G41-F41,"")</x:f>
        <x:v>-1</x:v>
      </x:c>
      <x:c r="O41" s="86" t="n">
        <x:f>IF(AND(I41="有效",F41&lt;='00_使用说明'!$B$8),1,0)</x:f>
        <x:v>1</x:v>
      </x:c>
      <x:c r="P41" s="52" t="str">
        <x:v>R-PROD</x:v>
      </x:c>
      <x:c r="Q41" s="52" t="str">
        <x:v>已核实样例</x:v>
      </x:c>
      <x:c r="R41" s="52" t="str">
        <x:v>模拟</x:v>
      </x:c>
    </x:row>
    <x:row r="42" ht="27" customHeight="1">
      <x:c r="A42" s="62" t="str">
        <x:v>P-H028</x:v>
      </x:c>
      <x:c r="B42" s="62" t="str">
        <x:v>H028-N019</x:v>
      </x:c>
      <x:c r="C42" s="62" t="str">
        <x:v>钢材入库</x:v>
      </x:c>
      <x:c r="D42" s="62" t="str">
        <x:v>采购确认</x:v>
      </x:c>
      <x:c r="E42" s="62" t="str">
        <x:v>V2</x:v>
      </x:c>
      <x:c r="F42" s="63" t="n">
        <x:v>46329</x:v>
      </x:c>
      <x:c r="G42" s="63"/>
      <x:c r="H42" s="88" t="str">
        <x:v>未核实</x:v>
      </x:c>
      <x:c r="I42" s="88" t="str">
        <x:v>有效</x:v>
      </x:c>
      <x:c r="J42" s="62" t="str">
        <x:v>采购部</x:v>
      </x:c>
      <x:c r="K42" s="62" t="str">
        <x:v>采购主管</x:v>
      </x:c>
      <x:c r="L42" s="62" t="str">
        <x:v>内部计划（演示）</x:v>
      </x:c>
      <x:c r="M42" s="86" t="str">
        <x:f>IF(I42&lt;&gt;"有效","已取消",IF(F42&gt;'00_使用说明'!$B$8,"未到期",IF(OR(H42&lt;&gt;"已核实",G42=""),"待核对",IF(G42&lt;=F42,"按期完成","延期完成"))))</x:f>
        <x:v>未到期</x:v>
      </x:c>
      <x:c r="N42" s="86" t="str">
        <x:f>IF(AND(H42="已核实",ISNUMBER(G42),ISNUMBER(F42)),G42-F42,"")</x:f>
      </x:c>
      <x:c r="O42" s="86" t="n">
        <x:f>IF(AND(I42="有效",F42&lt;='00_使用说明'!$B$8),1,0)</x:f>
        <x:v>0</x:v>
      </x:c>
      <x:c r="P42" s="62" t="str">
        <x:v>R-PROC</x:v>
      </x:c>
      <x:c r="Q42" s="62" t="str">
        <x:v>未来计划节点</x:v>
      </x:c>
      <x:c r="R42" s="62" t="str">
        <x:v>模拟</x:v>
      </x:c>
    </x:row>
    <x:row r="43" ht="27" customHeight="1">
      <x:c r="A43" s="52" t="str">
        <x:v>P-H028</x:v>
      </x:c>
      <x:c r="B43" s="52" t="str">
        <x:v>H028-N020</x:v>
      </x:c>
      <x:c r="C43" s="52" t="str">
        <x:v>分段开工</x:v>
      </x:c>
      <x:c r="D43" s="52" t="str">
        <x:v>生产节点</x:v>
      </x:c>
      <x:c r="E43" s="52" t="str">
        <x:v>V2</x:v>
      </x:c>
      <x:c r="F43" s="53" t="n">
        <x:v>46338</x:v>
      </x:c>
      <x:c r="G43" s="53"/>
      <x:c r="H43" s="88" t="str">
        <x:v>未核实</x:v>
      </x:c>
      <x:c r="I43" s="88" t="str">
        <x:v>有效</x:v>
      </x:c>
      <x:c r="J43" s="52" t="str">
        <x:v>生产部</x:v>
      </x:c>
      <x:c r="K43" s="52" t="str">
        <x:v>生产主管</x:v>
      </x:c>
      <x:c r="L43" s="52" t="str">
        <x:v>内部计划（演示）</x:v>
      </x:c>
      <x:c r="M43" s="86" t="str">
        <x:f>IF(I43&lt;&gt;"有效","已取消",IF(F43&gt;'00_使用说明'!$B$8,"未到期",IF(OR(H43&lt;&gt;"已核实",G43=""),"待核对",IF(G43&lt;=F43,"按期完成","延期完成"))))</x:f>
        <x:v>未到期</x:v>
      </x:c>
      <x:c r="N43" s="86" t="str">
        <x:f>IF(AND(H43="已核实",ISNUMBER(G43),ISNUMBER(F43)),G43-F43,"")</x:f>
      </x:c>
      <x:c r="O43" s="86" t="n">
        <x:f>IF(AND(I43="有效",F43&lt;='00_使用说明'!$B$8),1,0)</x:f>
        <x:v>0</x:v>
      </x:c>
      <x:c r="P43" s="52" t="str">
        <x:v>R-PROD</x:v>
      </x:c>
      <x:c r="Q43" s="52" t="str">
        <x:v>未来计划节点</x:v>
      </x:c>
      <x:c r="R43" s="52" t="str">
        <x:v>模拟</x:v>
      </x:c>
    </x:row>
    <x:row r="44" ht="27" customHeight="1">
      <x:c r="A44" s="62" t="str">
        <x:v>P-H028</x:v>
      </x:c>
      <x:c r="B44" s="62" t="str">
        <x:v>H028-N021</x:v>
      </x:c>
      <x:c r="C44" s="62" t="str">
        <x:v>船体合拢</x:v>
      </x:c>
      <x:c r="D44" s="62" t="str">
        <x:v>生产节点</x:v>
      </x:c>
      <x:c r="E44" s="62" t="str">
        <x:v>V2</x:v>
      </x:c>
      <x:c r="F44" s="63" t="n">
        <x:v>46364</x:v>
      </x:c>
      <x:c r="G44" s="63"/>
      <x:c r="H44" s="88" t="str">
        <x:v>未核实</x:v>
      </x:c>
      <x:c r="I44" s="88" t="str">
        <x:v>有效</x:v>
      </x:c>
      <x:c r="J44" s="62" t="str">
        <x:v>生产部</x:v>
      </x:c>
      <x:c r="K44" s="62" t="str">
        <x:v>生产主管</x:v>
      </x:c>
      <x:c r="L44" s="62" t="str">
        <x:v>内部计划（演示）</x:v>
      </x:c>
      <x:c r="M44" s="86" t="str">
        <x:f>IF(I44&lt;&gt;"有效","已取消",IF(F44&gt;'00_使用说明'!$B$8,"未到期",IF(OR(H44&lt;&gt;"已核实",G44=""),"待核对",IF(G44&lt;=F44,"按期完成","延期完成"))))</x:f>
        <x:v>未到期</x:v>
      </x:c>
      <x:c r="N44" s="86" t="str">
        <x:f>IF(AND(H44="已核实",ISNUMBER(G44),ISNUMBER(F44)),G44-F44,"")</x:f>
      </x:c>
      <x:c r="O44" s="86" t="n">
        <x:f>IF(AND(I44="有效",F44&lt;='00_使用说明'!$B$8),1,0)</x:f>
        <x:v>0</x:v>
      </x:c>
      <x:c r="P44" s="62" t="str">
        <x:v>R-PROD</x:v>
      </x:c>
      <x:c r="Q44" s="62" t="str">
        <x:v>未来计划节点</x:v>
      </x:c>
      <x:c r="R44" s="62" t="str">
        <x:v>模拟</x:v>
      </x:c>
    </x:row>
    <x:row r="45" ht="27" customHeight="1">
      <x:c r="A45" s="52" t="str">
        <x:v>P-H028</x:v>
      </x:c>
      <x:c r="B45" s="52" t="str">
        <x:v>H028-N022</x:v>
      </x:c>
      <x:c r="C45" s="52" t="str">
        <x:v>阶段付款准备</x:v>
      </x:c>
      <x:c r="D45" s="52" t="str">
        <x:v>阶段付款</x:v>
      </x:c>
      <x:c r="E45" s="52" t="str">
        <x:v>V2</x:v>
      </x:c>
      <x:c r="F45" s="53" t="n">
        <x:v>46374</x:v>
      </x:c>
      <x:c r="G45" s="53"/>
      <x:c r="H45" s="88" t="str">
        <x:v>未核实</x:v>
      </x:c>
      <x:c r="I45" s="88" t="str">
        <x:v>有效</x:v>
      </x:c>
      <x:c r="J45" s="52" t="str">
        <x:v>财务部</x:v>
      </x:c>
      <x:c r="K45" s="52" t="str">
        <x:v>财务主管</x:v>
      </x:c>
      <x:c r="L45" s="52" t="str">
        <x:v>合同约定（演示，未核实）</x:v>
      </x:c>
      <x:c r="M45" s="86" t="str">
        <x:f>IF(I45&lt;&gt;"有效","已取消",IF(F45&gt;'00_使用说明'!$B$8,"未到期",IF(OR(H45&lt;&gt;"已核实",G45=""),"待核对",IF(G45&lt;=F45,"按期完成","延期完成"))))</x:f>
        <x:v>未到期</x:v>
      </x:c>
      <x:c r="N45" s="86" t="str">
        <x:f>IF(AND(H45="已核实",ISNUMBER(G45),ISNUMBER(F45)),G45-F45,"")</x:f>
      </x:c>
      <x:c r="O45" s="86" t="n">
        <x:f>IF(AND(I45="有效",F45&lt;='00_使用说明'!$B$8),1,0)</x:f>
        <x:v>0</x:v>
      </x:c>
      <x:c r="P45" s="52" t="str">
        <x:v>R-PAY</x:v>
      </x:c>
      <x:c r="Q45" s="52" t="str">
        <x:v>未来计划节点</x:v>
      </x:c>
      <x:c r="R45" s="52" t="str">
        <x:v>模拟</x:v>
      </x:c>
    </x:row>
    <x:row r="46" ht="27" customHeight="1">
      <x:c r="A46" s="62" t="str">
        <x:v>P-H028</x:v>
      </x:c>
      <x:c r="B46" s="62" t="str">
        <x:v>H028-N023</x:v>
      </x:c>
      <x:c r="C46" s="62" t="str">
        <x:v>码头系泊试验</x:v>
      </x:c>
      <x:c r="D46" s="62" t="str">
        <x:v>验收节点</x:v>
      </x:c>
      <x:c r="E46" s="62" t="str">
        <x:v>V2</x:v>
      </x:c>
      <x:c r="F46" s="63" t="n">
        <x:v>46426</x:v>
      </x:c>
      <x:c r="G46" s="63"/>
      <x:c r="H46" s="88" t="str">
        <x:v>未核实</x:v>
      </x:c>
      <x:c r="I46" s="88" t="str">
        <x:v>有效</x:v>
      </x:c>
      <x:c r="J46" s="62" t="str">
        <x:v>质检部</x:v>
      </x:c>
      <x:c r="K46" s="62" t="str">
        <x:v>质检主管</x:v>
      </x:c>
      <x:c r="L46" s="62" t="str">
        <x:v>内部计划（演示）</x:v>
      </x:c>
      <x:c r="M46" s="86" t="str">
        <x:f>IF(I46&lt;&gt;"有效","已取消",IF(F46&gt;'00_使用说明'!$B$8,"未到期",IF(OR(H46&lt;&gt;"已核实",G46=""),"待核对",IF(G46&lt;=F46,"按期完成","延期完成"))))</x:f>
        <x:v>未到期</x:v>
      </x:c>
      <x:c r="N46" s="86" t="str">
        <x:f>IF(AND(H46="已核实",ISNUMBER(G46),ISNUMBER(F46)),G46-F46,"")</x:f>
      </x:c>
      <x:c r="O46" s="86" t="n">
        <x:f>IF(AND(I46="有效",F46&lt;='00_使用说明'!$B$8),1,0)</x:f>
        <x:v>0</x:v>
      </x:c>
      <x:c r="P46" s="62" t="str">
        <x:v>R-ACC</x:v>
      </x:c>
      <x:c r="Q46" s="62" t="str">
        <x:v>未来计划节点</x:v>
      </x:c>
      <x:c r="R46" s="62" t="str">
        <x:v>模拟</x:v>
      </x:c>
    </x:row>
    <x:row r="47" ht="27" customHeight="1">
      <x:c r="A47" s="52" t="str">
        <x:v>P-H028</x:v>
      </x:c>
      <x:c r="B47" s="52" t="str">
        <x:v>H028-N024</x:v>
      </x:c>
      <x:c r="C47" s="52" t="str">
        <x:v>试航安排</x:v>
      </x:c>
      <x:c r="D47" s="52" t="str">
        <x:v>验收节点</x:v>
      </x:c>
      <x:c r="E47" s="52" t="str">
        <x:v>V2</x:v>
      </x:c>
      <x:c r="F47" s="53" t="n">
        <x:v>46460</x:v>
      </x:c>
      <x:c r="G47" s="53"/>
      <x:c r="H47" s="88" t="str">
        <x:v>未核实</x:v>
      </x:c>
      <x:c r="I47" s="88" t="str">
        <x:v>有效</x:v>
      </x:c>
      <x:c r="J47" s="52" t="str">
        <x:v>项目部</x:v>
      </x:c>
      <x:c r="K47" s="52" t="str">
        <x:v>张工</x:v>
      </x:c>
      <x:c r="L47" s="52" t="str">
        <x:v>内部计划（演示）</x:v>
      </x:c>
      <x:c r="M47" s="86" t="str">
        <x:f>IF(I47&lt;&gt;"有效","已取消",IF(F47&gt;'00_使用说明'!$B$8,"未到期",IF(OR(H47&lt;&gt;"已核实",G47=""),"待核对",IF(G47&lt;=F47,"按期完成","延期完成"))))</x:f>
        <x:v>未到期</x:v>
      </x:c>
      <x:c r="N47" s="86" t="str">
        <x:f>IF(AND(H47="已核实",ISNUMBER(G47),ISNUMBER(F47)),G47-F47,"")</x:f>
      </x:c>
      <x:c r="O47" s="86" t="n">
        <x:f>IF(AND(I47="有效",F47&lt;='00_使用说明'!$B$8),1,0)</x:f>
        <x:v>0</x:v>
      </x:c>
      <x:c r="P47" s="52" t="str">
        <x:v>R-ACC</x:v>
      </x:c>
      <x:c r="Q47" s="52" t="str">
        <x:v>未来计划节点</x:v>
      </x:c>
      <x:c r="R47" s="52" t="str">
        <x:v>模拟</x:v>
      </x:c>
    </x:row>
    <x:row r="48" ht="27" customHeight="1">
      <x:c r="A48" s="62" t="str">
        <x:v>P-H028</x:v>
      </x:c>
      <x:c r="B48" s="62" t="str">
        <x:v>H028-N025</x:v>
      </x:c>
      <x:c r="C48" s="62" t="str">
        <x:v>交付文件准备</x:v>
      </x:c>
      <x:c r="D48" s="62" t="str">
        <x:v>资料签收</x:v>
      </x:c>
      <x:c r="E48" s="62" t="str">
        <x:v>V2</x:v>
      </x:c>
      <x:c r="F48" s="63" t="n">
        <x:v>46530</x:v>
      </x:c>
      <x:c r="G48" s="63"/>
      <x:c r="H48" s="88" t="str">
        <x:v>未核实</x:v>
      </x:c>
      <x:c r="I48" s="88" t="str">
        <x:v>有效</x:v>
      </x:c>
      <x:c r="J48" s="62" t="str">
        <x:v>项目部</x:v>
      </x:c>
      <x:c r="K48" s="62" t="str">
        <x:v>张工</x:v>
      </x:c>
      <x:c r="L48" s="62" t="str">
        <x:v>内部计划（演示）</x:v>
      </x:c>
      <x:c r="M48" s="86" t="str">
        <x:f>IF(I48&lt;&gt;"有效","已取消",IF(F48&gt;'00_使用说明'!$B$8,"未到期",IF(OR(H48&lt;&gt;"已核实",G48=""),"待核对",IF(G48&lt;=F48,"按期完成","延期完成"))))</x:f>
        <x:v>未到期</x:v>
      </x:c>
      <x:c r="N48" s="86" t="str">
        <x:f>IF(AND(H48="已核实",ISNUMBER(G48),ISNUMBER(F48)),G48-F48,"")</x:f>
      </x:c>
      <x:c r="O48" s="86" t="n">
        <x:f>IF(AND(I48="有效",F48&lt;='00_使用说明'!$B$8),1,0)</x:f>
        <x:v>0</x:v>
      </x:c>
      <x:c r="P48" s="62" t="str">
        <x:v>R-DOC</x:v>
      </x:c>
      <x:c r="Q48" s="62" t="str">
        <x:v>未来计划节点</x:v>
      </x:c>
      <x:c r="R48" s="62" t="str">
        <x:v>模拟</x:v>
      </x:c>
    </x:row>
    <x:row r="49" ht="27" customHeight="1">
      <x:c r="A49" s="52" t="str">
        <x:v>P-H028</x:v>
      </x:c>
      <x:c r="B49" s="52" t="str">
        <x:v>H028-N026</x:v>
      </x:c>
      <x:c r="C49" s="52" t="str">
        <x:v>项目交付</x:v>
      </x:c>
      <x:c r="D49" s="52" t="str">
        <x:v>项目交付</x:v>
      </x:c>
      <x:c r="E49" s="52" t="str">
        <x:v>V2</x:v>
      </x:c>
      <x:c r="F49" s="53" t="n">
        <x:v>46550</x:v>
      </x:c>
      <x:c r="G49" s="53"/>
      <x:c r="H49" s="88" t="str">
        <x:v>未核实</x:v>
      </x:c>
      <x:c r="I49" s="88" t="str">
        <x:v>有效</x:v>
      </x:c>
      <x:c r="J49" s="52" t="str">
        <x:v>项目部</x:v>
      </x:c>
      <x:c r="K49" s="52" t="str">
        <x:v>张工</x:v>
      </x:c>
      <x:c r="L49" s="52" t="str">
        <x:v>内部计划（演示）</x:v>
      </x:c>
      <x:c r="M49" s="86" t="str">
        <x:f>IF(I49&lt;&gt;"有效","已取消",IF(F49&gt;'00_使用说明'!$B$8,"未到期",IF(OR(H49&lt;&gt;"已核实",G49=""),"待核对",IF(G49&lt;=F49,"按期完成","延期完成"))))</x:f>
        <x:v>未到期</x:v>
      </x:c>
      <x:c r="N49" s="86" t="str">
        <x:f>IF(AND(H49="已核实",ISNUMBER(G49),ISNUMBER(F49)),G49-F49,"")</x:f>
      </x:c>
      <x:c r="O49" s="86" t="n">
        <x:f>IF(AND(I49="有效",F49&lt;='00_使用说明'!$B$8),1,0)</x:f>
        <x:v>0</x:v>
      </x:c>
      <x:c r="P49" s="52" t="str">
        <x:v>R-DEL</x:v>
      </x:c>
      <x:c r="Q49" s="52" t="str">
        <x:v>未来计划节点</x:v>
      </x:c>
      <x:c r="R49" s="52" t="str">
        <x:v>模拟</x:v>
      </x:c>
    </x:row>
    <x:row r="50" ht="27" customHeight="1">
      <x:c r="A50" s="62" t="str">
        <x:v>P-H031</x:v>
      </x:c>
      <x:c r="B50" s="62" t="str">
        <x:v>H031-N001</x:v>
      </x:c>
      <x:c r="C50" s="62" t="str">
        <x:v>订单合同生效</x:v>
      </x:c>
      <x:c r="D50" s="62" t="str">
        <x:v>合同签订</x:v>
      </x:c>
      <x:c r="E50" s="62" t="str">
        <x:v>V1</x:v>
      </x:c>
      <x:c r="F50" s="63" t="n">
        <x:v>46266</x:v>
      </x:c>
      <x:c r="G50" s="63" t="n">
        <x:v>46266</x:v>
      </x:c>
      <x:c r="H50" s="88" t="str">
        <x:v>已核实</x:v>
      </x:c>
      <x:c r="I50" s="88" t="str">
        <x:v>有效</x:v>
      </x:c>
      <x:c r="J50" s="62" t="str">
        <x:v>经营部</x:v>
      </x:c>
      <x:c r="K50" s="62" t="str">
        <x:v>李工</x:v>
      </x:c>
      <x:c r="L50" s="62" t="str">
        <x:v>合同约定（演示，未核实）</x:v>
      </x:c>
      <x:c r="M50" s="86" t="str">
        <x:f>IF(I50&lt;&gt;"有效","已取消",IF(F50&gt;'00_使用说明'!$B$8,"未到期",IF(OR(H50&lt;&gt;"已核实",G50=""),"待核对",IF(G50&lt;=F50,"按期完成","延期完成"))))</x:f>
        <x:v>按期完成</x:v>
      </x:c>
      <x:c r="N50" s="86" t="n">
        <x:f>IF(AND(H50="已核实",ISNUMBER(G50),ISNUMBER(F50)),G50-F50,"")</x:f>
        <x:v>0</x:v>
      </x:c>
      <x:c r="O50" s="86" t="n">
        <x:f>IF(AND(I50="有效",F50&lt;='00_使用说明'!$B$8),1,0)</x:f>
        <x:v>1</x:v>
      </x:c>
      <x:c r="P50" s="62" t="str">
        <x:v>R-CON</x:v>
      </x:c>
      <x:c r="Q50" s="62" t="str">
        <x:v>已核实样例</x:v>
      </x:c>
      <x:c r="R50" s="62" t="str">
        <x:v>模拟</x:v>
      </x:c>
    </x:row>
    <x:row r="51" ht="27" customHeight="1">
      <x:c r="A51" s="52" t="str">
        <x:v>P-H031</x:v>
      </x:c>
      <x:c r="B51" s="52" t="str">
        <x:v>H031-N002</x:v>
      </x:c>
      <x:c r="C51" s="52" t="str">
        <x:v>设计输入确认</x:v>
      </x:c>
      <x:c r="D51" s="52" t="str">
        <x:v>设计资料</x:v>
      </x:c>
      <x:c r="E51" s="52" t="str">
        <x:v>V1</x:v>
      </x:c>
      <x:c r="F51" s="53" t="n">
        <x:v>46271</x:v>
      </x:c>
      <x:c r="G51" s="53" t="n">
        <x:v>46271</x:v>
      </x:c>
      <x:c r="H51" s="88" t="str">
        <x:v>已核实</x:v>
      </x:c>
      <x:c r="I51" s="88" t="str">
        <x:v>有效</x:v>
      </x:c>
      <x:c r="J51" s="52" t="str">
        <x:v>设计部</x:v>
      </x:c>
      <x:c r="K51" s="52" t="str">
        <x:v>李工</x:v>
      </x:c>
      <x:c r="L51" s="52" t="str">
        <x:v>内部计划（演示）</x:v>
      </x:c>
      <x:c r="M51" s="86" t="str">
        <x:f>IF(I51&lt;&gt;"有效","已取消",IF(F51&gt;'00_使用说明'!$B$8,"未到期",IF(OR(H51&lt;&gt;"已核实",G51=""),"待核对",IF(G51&lt;=F51,"按期完成","延期完成"))))</x:f>
        <x:v>按期完成</x:v>
      </x:c>
      <x:c r="N51" s="86" t="n">
        <x:f>IF(AND(H51="已核实",ISNUMBER(G51),ISNUMBER(F51)),G51-F51,"")</x:f>
        <x:v>0</x:v>
      </x:c>
      <x:c r="O51" s="86" t="n">
        <x:f>IF(AND(I51="有效",F51&lt;='00_使用说明'!$B$8),1,0)</x:f>
        <x:v>1</x:v>
      </x:c>
      <x:c r="P51" s="52" t="str">
        <x:v>R-DES</x:v>
      </x:c>
      <x:c r="Q51" s="52" t="str">
        <x:v>已核实样例</x:v>
      </x:c>
      <x:c r="R51" s="52" t="str">
        <x:v>模拟</x:v>
      </x:c>
    </x:row>
    <x:row r="52" ht="27" customHeight="1">
      <x:c r="A52" s="62" t="str">
        <x:v>P-H031</x:v>
      </x:c>
      <x:c r="B52" s="62" t="str">
        <x:v>H031-N003</x:v>
      </x:c>
      <x:c r="C52" s="62" t="str">
        <x:v>启动会议</x:v>
      </x:c>
      <x:c r="D52" s="62" t="str">
        <x:v>开工准备</x:v>
      </x:c>
      <x:c r="E52" s="62" t="str">
        <x:v>V1</x:v>
      </x:c>
      <x:c r="F52" s="63" t="n">
        <x:v>46276</x:v>
      </x:c>
      <x:c r="G52" s="63" t="n">
        <x:v>46275</x:v>
      </x:c>
      <x:c r="H52" s="88" t="str">
        <x:v>已核实</x:v>
      </x:c>
      <x:c r="I52" s="88" t="str">
        <x:v>有效</x:v>
      </x:c>
      <x:c r="J52" s="62" t="str">
        <x:v>项目部</x:v>
      </x:c>
      <x:c r="K52" s="62" t="str">
        <x:v>李工</x:v>
      </x:c>
      <x:c r="L52" s="62" t="str">
        <x:v>内部计划（演示）</x:v>
      </x:c>
      <x:c r="M52" s="86" t="str">
        <x:f>IF(I52&lt;&gt;"有效","已取消",IF(F52&gt;'00_使用说明'!$B$8,"未到期",IF(OR(H52&lt;&gt;"已核实",G52=""),"待核对",IF(G52&lt;=F52,"按期完成","延期完成"))))</x:f>
        <x:v>按期完成</x:v>
      </x:c>
      <x:c r="N52" s="86" t="n">
        <x:f>IF(AND(H52="已核实",ISNUMBER(G52),ISNUMBER(F52)),G52-F52,"")</x:f>
        <x:v>-1</x:v>
      </x:c>
      <x:c r="O52" s="86" t="n">
        <x:f>IF(AND(I52="有效",F52&lt;='00_使用说明'!$B$8),1,0)</x:f>
        <x:v>1</x:v>
      </x:c>
      <x:c r="P52" s="62" t="str">
        <x:v>R-START</x:v>
      </x:c>
      <x:c r="Q52" s="62" t="str">
        <x:v>已核实样例</x:v>
      </x:c>
      <x:c r="R52" s="62" t="str">
        <x:v>模拟</x:v>
      </x:c>
    </x:row>
    <x:row r="53" ht="27" customHeight="1">
      <x:c r="A53" s="52" t="str">
        <x:v>P-H031</x:v>
      </x:c>
      <x:c r="B53" s="52" t="str">
        <x:v>H031-N004</x:v>
      </x:c>
      <x:c r="C53" s="52" t="str">
        <x:v>采购招标确认</x:v>
      </x:c>
      <x:c r="D53" s="52" t="str">
        <x:v>采购确认</x:v>
      </x:c>
      <x:c r="E53" s="52" t="str">
        <x:v>V1</x:v>
      </x:c>
      <x:c r="F53" s="53" t="n">
        <x:v>46282</x:v>
      </x:c>
      <x:c r="G53" s="53" t="n">
        <x:v>46282</x:v>
      </x:c>
      <x:c r="H53" s="88" t="str">
        <x:v>已核实</x:v>
      </x:c>
      <x:c r="I53" s="88" t="str">
        <x:v>有效</x:v>
      </x:c>
      <x:c r="J53" s="52" t="str">
        <x:v>采购部</x:v>
      </x:c>
      <x:c r="K53" s="52" t="str">
        <x:v>李工</x:v>
      </x:c>
      <x:c r="L53" s="52" t="str">
        <x:v>内部计划（演示）</x:v>
      </x:c>
      <x:c r="M53" s="86" t="str">
        <x:f>IF(I53&lt;&gt;"有效","已取消",IF(F53&gt;'00_使用说明'!$B$8,"未到期",IF(OR(H53&lt;&gt;"已核实",G53=""),"待核对",IF(G53&lt;=F53,"按期完成","延期完成"))))</x:f>
        <x:v>按期完成</x:v>
      </x:c>
      <x:c r="N53" s="86" t="n">
        <x:f>IF(AND(H53="已核实",ISNUMBER(G53),ISNUMBER(F53)),G53-F53,"")</x:f>
        <x:v>0</x:v>
      </x:c>
      <x:c r="O53" s="86" t="n">
        <x:f>IF(AND(I53="有效",F53&lt;='00_使用说明'!$B$8),1,0)</x:f>
        <x:v>1</x:v>
      </x:c>
      <x:c r="P53" s="52" t="str">
        <x:v>R-PROC</x:v>
      </x:c>
      <x:c r="Q53" s="52" t="str">
        <x:v>已核实样例</x:v>
      </x:c>
      <x:c r="R53" s="52" t="str">
        <x:v>模拟</x:v>
      </x:c>
    </x:row>
    <x:row r="54" ht="27" customHeight="1">
      <x:c r="A54" s="62" t="str">
        <x:v>P-H031</x:v>
      </x:c>
      <x:c r="B54" s="62" t="str">
        <x:v>H031-N005</x:v>
      </x:c>
      <x:c r="C54" s="62" t="str">
        <x:v>设计评审</x:v>
      </x:c>
      <x:c r="D54" s="62" t="str">
        <x:v>图纸审核</x:v>
      </x:c>
      <x:c r="E54" s="62" t="str">
        <x:v>V1</x:v>
      </x:c>
      <x:c r="F54" s="63" t="n">
        <x:v>46288</x:v>
      </x:c>
      <x:c r="G54" s="63" t="n">
        <x:v>46290</x:v>
      </x:c>
      <x:c r="H54" s="88" t="str">
        <x:v>已核实</x:v>
      </x:c>
      <x:c r="I54" s="88" t="str">
        <x:v>有效</x:v>
      </x:c>
      <x:c r="J54" s="62" t="str">
        <x:v>设计部</x:v>
      </x:c>
      <x:c r="K54" s="62" t="str">
        <x:v>李工</x:v>
      </x:c>
      <x:c r="L54" s="62" t="str">
        <x:v>内部计划（演示）</x:v>
      </x:c>
      <x:c r="M54" s="86" t="str">
        <x:f>IF(I54&lt;&gt;"有效","已取消",IF(F54&gt;'00_使用说明'!$B$8,"未到期",IF(OR(H54&lt;&gt;"已核实",G54=""),"待核对",IF(G54&lt;=F54,"按期完成","延期完成"))))</x:f>
        <x:v>延期完成</x:v>
      </x:c>
      <x:c r="N54" s="86" t="n">
        <x:f>IF(AND(H54="已核实",ISNUMBER(G54),ISNUMBER(F54)),G54-F54,"")</x:f>
        <x:v>2</x:v>
      </x:c>
      <x:c r="O54" s="86" t="n">
        <x:f>IF(AND(I54="有效",F54&lt;='00_使用说明'!$B$8),1,0)</x:f>
        <x:v>1</x:v>
      </x:c>
      <x:c r="P54" s="62" t="str">
        <x:v>R-DES</x:v>
      </x:c>
      <x:c r="Q54" s="62" t="str">
        <x:v>延期完成（演示）</x:v>
      </x:c>
      <x:c r="R54" s="62" t="str">
        <x:v>模拟</x:v>
      </x:c>
    </x:row>
    <x:row r="55" ht="27" customHeight="1">
      <x:c r="A55" s="52" t="str">
        <x:v>P-H031</x:v>
      </x:c>
      <x:c r="B55" s="52" t="str">
        <x:v>H031-N006</x:v>
      </x:c>
      <x:c r="C55" s="52" t="str">
        <x:v>技术资料归档</x:v>
      </x:c>
      <x:c r="D55" s="52" t="str">
        <x:v>资料签收</x:v>
      </x:c>
      <x:c r="E55" s="52" t="str">
        <x:v>V1</x:v>
      </x:c>
      <x:c r="F55" s="53" t="n">
        <x:v>46293</x:v>
      </x:c>
      <x:c r="G55" s="53" t="n">
        <x:v>46292</x:v>
      </x:c>
      <x:c r="H55" s="88" t="str">
        <x:v>已核实</x:v>
      </x:c>
      <x:c r="I55" s="88" t="str">
        <x:v>有效</x:v>
      </x:c>
      <x:c r="J55" s="52" t="str">
        <x:v>项目部</x:v>
      </x:c>
      <x:c r="K55" s="52" t="str">
        <x:v>李工</x:v>
      </x:c>
      <x:c r="L55" s="52" t="str">
        <x:v>内部计划（演示）</x:v>
      </x:c>
      <x:c r="M55" s="86" t="str">
        <x:f>IF(I55&lt;&gt;"有效","已取消",IF(F55&gt;'00_使用说明'!$B$8,"未到期",IF(OR(H55&lt;&gt;"已核实",G55=""),"待核对",IF(G55&lt;=F55,"按期完成","延期完成"))))</x:f>
        <x:v>按期完成</x:v>
      </x:c>
      <x:c r="N55" s="86" t="n">
        <x:f>IF(AND(H55="已核实",ISNUMBER(G55),ISNUMBER(F55)),G55-F55,"")</x:f>
        <x:v>-1</x:v>
      </x:c>
      <x:c r="O55" s="86" t="n">
        <x:f>IF(AND(I55="有效",F55&lt;='00_使用说明'!$B$8),1,0)</x:f>
        <x:v>1</x:v>
      </x:c>
      <x:c r="P55" s="52" t="str">
        <x:v>R-DOC</x:v>
      </x:c>
      <x:c r="Q55" s="52" t="str">
        <x:v>已核实样例</x:v>
      </x:c>
      <x:c r="R55" s="52" t="str">
        <x:v>模拟</x:v>
      </x:c>
    </x:row>
    <x:row r="56" ht="27" customHeight="1">
      <x:c r="A56" s="62" t="str">
        <x:v>P-H031</x:v>
      </x:c>
      <x:c r="B56" s="62" t="str">
        <x:v>H031-N007</x:v>
      </x:c>
      <x:c r="C56" s="62" t="str">
        <x:v>生产计划确认</x:v>
      </x:c>
      <x:c r="D56" s="62" t="str">
        <x:v>生产节点</x:v>
      </x:c>
      <x:c r="E56" s="62" t="str">
        <x:v>V1</x:v>
      </x:c>
      <x:c r="F56" s="63" t="n">
        <x:v>46298</x:v>
      </x:c>
      <x:c r="G56" s="63" t="n">
        <x:v>46298</x:v>
      </x:c>
      <x:c r="H56" s="88" t="str">
        <x:v>已核实</x:v>
      </x:c>
      <x:c r="I56" s="88" t="str">
        <x:v>有效</x:v>
      </x:c>
      <x:c r="J56" s="62" t="str">
        <x:v>生产部</x:v>
      </x:c>
      <x:c r="K56" s="62" t="str">
        <x:v>李工</x:v>
      </x:c>
      <x:c r="L56" s="62" t="str">
        <x:v>内部计划（演示）</x:v>
      </x:c>
      <x:c r="M56" s="86" t="str">
        <x:f>IF(I56&lt;&gt;"有效","已取消",IF(F56&gt;'00_使用说明'!$B$8,"未到期",IF(OR(H56&lt;&gt;"已核实",G56=""),"待核对",IF(G56&lt;=F56,"按期完成","延期完成"))))</x:f>
        <x:v>按期完成</x:v>
      </x:c>
      <x:c r="N56" s="86" t="n">
        <x:f>IF(AND(H56="已核实",ISNUMBER(G56),ISNUMBER(F56)),G56-F56,"")</x:f>
        <x:v>0</x:v>
      </x:c>
      <x:c r="O56" s="86" t="n">
        <x:f>IF(AND(I56="有效",F56&lt;='00_使用说明'!$B$8),1,0)</x:f>
        <x:v>1</x:v>
      </x:c>
      <x:c r="P56" s="62" t="str">
        <x:v>R-PROD</x:v>
      </x:c>
      <x:c r="Q56" s="62" t="str">
        <x:v>已核实样例</x:v>
      </x:c>
      <x:c r="R56" s="62" t="str">
        <x:v>模拟</x:v>
      </x:c>
    </x:row>
    <x:row r="57" ht="27" customHeight="1">
      <x:c r="A57" s="52" t="str">
        <x:v>P-H031</x:v>
      </x:c>
      <x:c r="B57" s="52" t="str">
        <x:v>H031-N008</x:v>
      </x:c>
      <x:c r="C57" s="52" t="str">
        <x:v>设备订货</x:v>
      </x:c>
      <x:c r="D57" s="52" t="str">
        <x:v>采购确认</x:v>
      </x:c>
      <x:c r="E57" s="52" t="str">
        <x:v>V1</x:v>
      </x:c>
      <x:c r="F57" s="53" t="n">
        <x:v>46301</x:v>
      </x:c>
      <x:c r="G57" s="53" t="n">
        <x:v>46301</x:v>
      </x:c>
      <x:c r="H57" s="88" t="str">
        <x:v>已核实</x:v>
      </x:c>
      <x:c r="I57" s="88" t="str">
        <x:v>有效</x:v>
      </x:c>
      <x:c r="J57" s="52" t="str">
        <x:v>采购部</x:v>
      </x:c>
      <x:c r="K57" s="52" t="str">
        <x:v>李工</x:v>
      </x:c>
      <x:c r="L57" s="52" t="str">
        <x:v>内部计划（演示）</x:v>
      </x:c>
      <x:c r="M57" s="86" t="str">
        <x:f>IF(I57&lt;&gt;"有效","已取消",IF(F57&gt;'00_使用说明'!$B$8,"未到期",IF(OR(H57&lt;&gt;"已核实",G57=""),"待核对",IF(G57&lt;=F57,"按期完成","延期完成"))))</x:f>
        <x:v>按期完成</x:v>
      </x:c>
      <x:c r="N57" s="86" t="n">
        <x:f>IF(AND(H57="已核实",ISNUMBER(G57),ISNUMBER(F57)),G57-F57,"")</x:f>
        <x:v>0</x:v>
      </x:c>
      <x:c r="O57" s="86" t="n">
        <x:f>IF(AND(I57="有效",F57&lt;='00_使用说明'!$B$8),1,0)</x:f>
        <x:v>1</x:v>
      </x:c>
      <x:c r="P57" s="52" t="str">
        <x:v>R-PROC</x:v>
      </x:c>
      <x:c r="Q57" s="52" t="str">
        <x:v>已核实样例</x:v>
      </x:c>
      <x:c r="R57" s="52" t="str">
        <x:v>模拟</x:v>
      </x:c>
    </x:row>
    <x:row r="58" ht="27" customHeight="1">
      <x:c r="A58" s="62" t="str">
        <x:v>P-H031</x:v>
      </x:c>
      <x:c r="B58" s="62" t="str">
        <x:v>H031-N009</x:v>
      </x:c>
      <x:c r="C58" s="62" t="str">
        <x:v>材料检验</x:v>
      </x:c>
      <x:c r="D58" s="62" t="str">
        <x:v>验收节点</x:v>
      </x:c>
      <x:c r="E58" s="62" t="str">
        <x:v>V1</x:v>
      </x:c>
      <x:c r="F58" s="63" t="n">
        <x:v>46305</x:v>
      </x:c>
      <x:c r="G58" s="63" t="n">
        <x:v>46307</x:v>
      </x:c>
      <x:c r="H58" s="88" t="str">
        <x:v>已核实</x:v>
      </x:c>
      <x:c r="I58" s="88" t="str">
        <x:v>有效</x:v>
      </x:c>
      <x:c r="J58" s="62" t="str">
        <x:v>质检部</x:v>
      </x:c>
      <x:c r="K58" s="62" t="str">
        <x:v>李工</x:v>
      </x:c>
      <x:c r="L58" s="62" t="str">
        <x:v>内部计划（演示）</x:v>
      </x:c>
      <x:c r="M58" s="86" t="str">
        <x:f>IF(I58&lt;&gt;"有效","已取消",IF(F58&gt;'00_使用说明'!$B$8,"未到期",IF(OR(H58&lt;&gt;"已核实",G58=""),"待核对",IF(G58&lt;=F58,"按期完成","延期完成"))))</x:f>
        <x:v>延期完成</x:v>
      </x:c>
      <x:c r="N58" s="86" t="n">
        <x:f>IF(AND(H58="已核实",ISNUMBER(G58),ISNUMBER(F58)),G58-F58,"")</x:f>
        <x:v>2</x:v>
      </x:c>
      <x:c r="O58" s="86" t="n">
        <x:f>IF(AND(I58="有效",F58&lt;='00_使用说明'!$B$8),1,0)</x:f>
        <x:v>1</x:v>
      </x:c>
      <x:c r="P58" s="62" t="str">
        <x:v>R-ACC</x:v>
      </x:c>
      <x:c r="Q58" s="62" t="str">
        <x:v>延期完成（演示）</x:v>
      </x:c>
      <x:c r="R58" s="62" t="str">
        <x:v>模拟</x:v>
      </x:c>
    </x:row>
    <x:row r="59" ht="27" customHeight="1">
      <x:c r="A59" s="52" t="str">
        <x:v>P-H031</x:v>
      </x:c>
      <x:c r="B59" s="52" t="str">
        <x:v>H031-N010</x:v>
      </x:c>
      <x:c r="C59" s="52" t="str">
        <x:v>第一阶段付款准备</x:v>
      </x:c>
      <x:c r="D59" s="52" t="str">
        <x:v>阶段付款</x:v>
      </x:c>
      <x:c r="E59" s="52" t="str">
        <x:v>V1</x:v>
      </x:c>
      <x:c r="F59" s="53" t="n">
        <x:v>46307</x:v>
      </x:c>
      <x:c r="G59" s="53" t="n">
        <x:v>46307</x:v>
      </x:c>
      <x:c r="H59" s="88" t="str">
        <x:v>已核实</x:v>
      </x:c>
      <x:c r="I59" s="88" t="str">
        <x:v>有效</x:v>
      </x:c>
      <x:c r="J59" s="52" t="str">
        <x:v>财务部</x:v>
      </x:c>
      <x:c r="K59" s="52" t="str">
        <x:v>李工</x:v>
      </x:c>
      <x:c r="L59" s="52" t="str">
        <x:v>合同约定（演示，未核实）</x:v>
      </x:c>
      <x:c r="M59" s="86" t="str">
        <x:f>IF(I59&lt;&gt;"有效","已取消",IF(F59&gt;'00_使用说明'!$B$8,"未到期",IF(OR(H59&lt;&gt;"已核实",G59=""),"待核对",IF(G59&lt;=F59,"按期完成","延期完成"))))</x:f>
        <x:v>按期完成</x:v>
      </x:c>
      <x:c r="N59" s="86" t="n">
        <x:f>IF(AND(H59="已核实",ISNUMBER(G59),ISNUMBER(F59)),G59-F59,"")</x:f>
        <x:v>0</x:v>
      </x:c>
      <x:c r="O59" s="86" t="n">
        <x:f>IF(AND(I59="有效",F59&lt;='00_使用说明'!$B$8),1,0)</x:f>
        <x:v>1</x:v>
      </x:c>
      <x:c r="P59" s="52" t="str">
        <x:v>R-PAY</x:v>
      </x:c>
      <x:c r="Q59" s="52" t="str">
        <x:v>已核实样例</x:v>
      </x:c>
      <x:c r="R59" s="52" t="str">
        <x:v>模拟</x:v>
      </x:c>
    </x:row>
    <x:row r="60" ht="27" customHeight="1">
      <x:c r="A60" s="62" t="str">
        <x:v>P-H031</x:v>
      </x:c>
      <x:c r="B60" s="62" t="str">
        <x:v>H031-N011</x:v>
      </x:c>
      <x:c r="C60" s="62" t="str">
        <x:v>关键设备到货</x:v>
      </x:c>
      <x:c r="D60" s="62" t="str">
        <x:v>生产节点</x:v>
      </x:c>
      <x:c r="E60" s="62" t="str">
        <x:v>V1</x:v>
      </x:c>
      <x:c r="F60" s="63" t="n">
        <x:v>46311</x:v>
      </x:c>
      <x:c r="G60" s="63" t="n">
        <x:v>46311</x:v>
      </x:c>
      <x:c r="H60" s="88" t="str">
        <x:v>已核实</x:v>
      </x:c>
      <x:c r="I60" s="88" t="str">
        <x:v>有效</x:v>
      </x:c>
      <x:c r="J60" s="62" t="str">
        <x:v>采购部</x:v>
      </x:c>
      <x:c r="K60" s="62" t="str">
        <x:v>李工</x:v>
      </x:c>
      <x:c r="L60" s="62" t="str">
        <x:v>内部计划（演示）</x:v>
      </x:c>
      <x:c r="M60" s="86" t="str">
        <x:f>IF(I60&lt;&gt;"有效","已取消",IF(F60&gt;'00_使用说明'!$B$8,"未到期",IF(OR(H60&lt;&gt;"已核实",G60=""),"待核对",IF(G60&lt;=F60,"按期完成","延期完成"))))</x:f>
        <x:v>按期完成</x:v>
      </x:c>
      <x:c r="N60" s="86" t="n">
        <x:f>IF(AND(H60="已核实",ISNUMBER(G60),ISNUMBER(F60)),G60-F60,"")</x:f>
        <x:v>0</x:v>
      </x:c>
      <x:c r="O60" s="86" t="n">
        <x:f>IF(AND(I60="有效",F60&lt;='00_使用说明'!$B$8),1,0)</x:f>
        <x:v>1</x:v>
      </x:c>
      <x:c r="P60" s="62" t="str">
        <x:v>R-PROD</x:v>
      </x:c>
      <x:c r="Q60" s="62" t="str">
        <x:v>已核实样例</x:v>
      </x:c>
      <x:c r="R60" s="62" t="str">
        <x:v>模拟</x:v>
      </x:c>
    </x:row>
    <x:row r="61" ht="27" customHeight="1">
      <x:c r="A61" s="52" t="str">
        <x:v>P-H031</x:v>
      </x:c>
      <x:c r="B61" s="52" t="str">
        <x:v>H031-N012</x:v>
      </x:c>
      <x:c r="C61" s="52" t="str">
        <x:v>工艺文件签收</x:v>
      </x:c>
      <x:c r="D61" s="52" t="str">
        <x:v>资料签收</x:v>
      </x:c>
      <x:c r="E61" s="52" t="str">
        <x:v>V1</x:v>
      </x:c>
      <x:c r="F61" s="53" t="n">
        <x:v>46313</x:v>
      </x:c>
      <x:c r="G61" s="53" t="n">
        <x:v>46312</x:v>
      </x:c>
      <x:c r="H61" s="88" t="str">
        <x:v>已核实</x:v>
      </x:c>
      <x:c r="I61" s="88" t="str">
        <x:v>有效</x:v>
      </x:c>
      <x:c r="J61" s="52" t="str">
        <x:v>项目部</x:v>
      </x:c>
      <x:c r="K61" s="52" t="str">
        <x:v>李工</x:v>
      </x:c>
      <x:c r="L61" s="52" t="str">
        <x:v>内部计划（演示）</x:v>
      </x:c>
      <x:c r="M61" s="86" t="str">
        <x:f>IF(I61&lt;&gt;"有效","已取消",IF(F61&gt;'00_使用说明'!$B$8,"未到期",IF(OR(H61&lt;&gt;"已核实",G61=""),"待核对",IF(G61&lt;=F61,"按期完成","延期完成"))))</x:f>
        <x:v>按期完成</x:v>
      </x:c>
      <x:c r="N61" s="86" t="n">
        <x:f>IF(AND(H61="已核实",ISNUMBER(G61),ISNUMBER(F61)),G61-F61,"")</x:f>
        <x:v>-1</x:v>
      </x:c>
      <x:c r="O61" s="86" t="n">
        <x:f>IF(AND(I61="有效",F61&lt;='00_使用说明'!$B$8),1,0)</x:f>
        <x:v>1</x:v>
      </x:c>
      <x:c r="P61" s="52" t="str">
        <x:v>R-DOC</x:v>
      </x:c>
      <x:c r="Q61" s="52" t="str">
        <x:v>已核实样例</x:v>
      </x:c>
      <x:c r="R61" s="52" t="str">
        <x:v>模拟</x:v>
      </x:c>
    </x:row>
    <x:row r="62" ht="27" customHeight="1">
      <x:c r="A62" s="62" t="str">
        <x:v>P-H031</x:v>
      </x:c>
      <x:c r="B62" s="62" t="str">
        <x:v>H031-N013</x:v>
      </x:c>
      <x:c r="C62" s="62" t="str">
        <x:v>船台准备</x:v>
      </x:c>
      <x:c r="D62" s="62" t="str">
        <x:v>生产节点</x:v>
      </x:c>
      <x:c r="E62" s="62" t="str">
        <x:v>V1</x:v>
      </x:c>
      <x:c r="F62" s="63" t="n">
        <x:v>46318</x:v>
      </x:c>
      <x:c r="G62" s="63"/>
      <x:c r="H62" s="88" t="str">
        <x:v>未核实</x:v>
      </x:c>
      <x:c r="I62" s="88" t="str">
        <x:v>有效</x:v>
      </x:c>
      <x:c r="J62" s="62" t="str">
        <x:v>生产部</x:v>
      </x:c>
      <x:c r="K62" s="62" t="str">
        <x:v>李工</x:v>
      </x:c>
      <x:c r="L62" s="62" t="str">
        <x:v>内部计划（演示）</x:v>
      </x:c>
      <x:c r="M62" s="86" t="str">
        <x:f>IF(I62&lt;&gt;"有效","已取消",IF(F62&gt;'00_使用说明'!$B$8,"未到期",IF(OR(H62&lt;&gt;"已核实",G62=""),"待核对",IF(G62&lt;=F62,"按期完成","延期完成"))))</x:f>
        <x:v>未到期</x:v>
      </x:c>
      <x:c r="N62" s="86" t="str">
        <x:f>IF(AND(H62="已核实",ISNUMBER(G62),ISNUMBER(F62)),G62-F62,"")</x:f>
      </x:c>
      <x:c r="O62" s="86" t="n">
        <x:f>IF(AND(I62="有效",F62&lt;='00_使用说明'!$B$8),1,0)</x:f>
        <x:v>0</x:v>
      </x:c>
      <x:c r="P62" s="62" t="str">
        <x:v>R-PROD</x:v>
      </x:c>
      <x:c r="Q62" s="62" t="str">
        <x:v>未来计划节点</x:v>
      </x:c>
      <x:c r="R62" s="62" t="str">
        <x:v>模拟</x:v>
      </x:c>
    </x:row>
    <x:row r="63" ht="27" customHeight="1">
      <x:c r="A63" s="52" t="str">
        <x:v>P-H031</x:v>
      </x:c>
      <x:c r="B63" s="52" t="str">
        <x:v>H031-N014</x:v>
      </x:c>
      <x:c r="C63" s="52" t="str">
        <x:v>第二批物料交付</x:v>
      </x:c>
      <x:c r="D63" s="52" t="str">
        <x:v>采购确认</x:v>
      </x:c>
      <x:c r="E63" s="52" t="str">
        <x:v>V1</x:v>
      </x:c>
      <x:c r="F63" s="53" t="n">
        <x:v>46320</x:v>
      </x:c>
      <x:c r="G63" s="53"/>
      <x:c r="H63" s="88" t="str">
        <x:v>未核实</x:v>
      </x:c>
      <x:c r="I63" s="88" t="str">
        <x:v>有效</x:v>
      </x:c>
      <x:c r="J63" s="52" t="str">
        <x:v>采购部</x:v>
      </x:c>
      <x:c r="K63" s="52" t="str">
        <x:v>李工</x:v>
      </x:c>
      <x:c r="L63" s="52" t="str">
        <x:v>内部计划（演示）</x:v>
      </x:c>
      <x:c r="M63" s="86" t="str">
        <x:f>IF(I63&lt;&gt;"有效","已取消",IF(F63&gt;'00_使用说明'!$B$8,"未到期",IF(OR(H63&lt;&gt;"已核实",G63=""),"待核对",IF(G63&lt;=F63,"按期完成","延期完成"))))</x:f>
        <x:v>未到期</x:v>
      </x:c>
      <x:c r="N63" s="86" t="str">
        <x:f>IF(AND(H63="已核实",ISNUMBER(G63),ISNUMBER(F63)),G63-F63,"")</x:f>
      </x:c>
      <x:c r="O63" s="86" t="n">
        <x:f>IF(AND(I63="有效",F63&lt;='00_使用说明'!$B$8),1,0)</x:f>
        <x:v>0</x:v>
      </x:c>
      <x:c r="P63" s="52" t="str">
        <x:v>R-PROC</x:v>
      </x:c>
      <x:c r="Q63" s="52" t="str">
        <x:v>未来计划节点</x:v>
      </x:c>
      <x:c r="R63" s="52" t="str">
        <x:v>模拟</x:v>
      </x:c>
    </x:row>
    <x:row r="64" ht="27" customHeight="1">
      <x:c r="A64" s="62" t="str">
        <x:v>P-H031</x:v>
      </x:c>
      <x:c r="B64" s="62" t="str">
        <x:v>H031-N015</x:v>
      </x:c>
      <x:c r="C64" s="62" t="str">
        <x:v>合同阶段收款</x:v>
      </x:c>
      <x:c r="D64" s="62" t="str">
        <x:v>阶段收款</x:v>
      </x:c>
      <x:c r="E64" s="62" t="str">
        <x:v>V1</x:v>
      </x:c>
      <x:c r="F64" s="63" t="n">
        <x:v>46328</x:v>
      </x:c>
      <x:c r="G64" s="63"/>
      <x:c r="H64" s="88" t="str">
        <x:v>未核实</x:v>
      </x:c>
      <x:c r="I64" s="88" t="str">
        <x:v>有效</x:v>
      </x:c>
      <x:c r="J64" s="62" t="str">
        <x:v>财务部</x:v>
      </x:c>
      <x:c r="K64" s="62" t="str">
        <x:v>李工</x:v>
      </x:c>
      <x:c r="L64" s="62" t="str">
        <x:v>合同约定（演示，未核实）</x:v>
      </x:c>
      <x:c r="M64" s="86" t="str">
        <x:f>IF(I64&lt;&gt;"有效","已取消",IF(F64&gt;'00_使用说明'!$B$8,"未到期",IF(OR(H64&lt;&gt;"已核实",G64=""),"待核对",IF(G64&lt;=F64,"按期完成","延期完成"))))</x:f>
        <x:v>未到期</x:v>
      </x:c>
      <x:c r="N64" s="86" t="str">
        <x:f>IF(AND(H64="已核实",ISNUMBER(G64),ISNUMBER(F64)),G64-F64,"")</x:f>
      </x:c>
      <x:c r="O64" s="86" t="n">
        <x:f>IF(AND(I64="有效",F64&lt;='00_使用说明'!$B$8),1,0)</x:f>
        <x:v>0</x:v>
      </x:c>
      <x:c r="P64" s="62" t="str">
        <x:v>R-REC</x:v>
      </x:c>
      <x:c r="Q64" s="62" t="str">
        <x:v>未来计划节点</x:v>
      </x:c>
      <x:c r="R64" s="62" t="str">
        <x:v>模拟</x:v>
      </x:c>
    </x:row>
    <x:row r="65" ht="27" customHeight="1">
      <x:c r="A65" s="52" t="str">
        <x:v>P-H031</x:v>
      </x:c>
      <x:c r="B65" s="52" t="str">
        <x:v>H031-N016</x:v>
      </x:c>
      <x:c r="C65" s="52" t="str">
        <x:v>船体分段检验</x:v>
      </x:c>
      <x:c r="D65" s="52" t="str">
        <x:v>验收节点</x:v>
      </x:c>
      <x:c r="E65" s="52" t="str">
        <x:v>V1</x:v>
      </x:c>
      <x:c r="F65" s="53" t="n">
        <x:v>46341</x:v>
      </x:c>
      <x:c r="G65" s="53"/>
      <x:c r="H65" s="88" t="str">
        <x:v>未核实</x:v>
      </x:c>
      <x:c r="I65" s="88" t="str">
        <x:v>有效</x:v>
      </x:c>
      <x:c r="J65" s="52" t="str">
        <x:v>质检部</x:v>
      </x:c>
      <x:c r="K65" s="52" t="str">
        <x:v>李工</x:v>
      </x:c>
      <x:c r="L65" s="52" t="str">
        <x:v>内部计划（演示）</x:v>
      </x:c>
      <x:c r="M65" s="86" t="str">
        <x:f>IF(I65&lt;&gt;"有效","已取消",IF(F65&gt;'00_使用说明'!$B$8,"未到期",IF(OR(H65&lt;&gt;"已核实",G65=""),"待核对",IF(G65&lt;=F65,"按期完成","延期完成"))))</x:f>
        <x:v>未到期</x:v>
      </x:c>
      <x:c r="N65" s="86" t="str">
        <x:f>IF(AND(H65="已核实",ISNUMBER(G65),ISNUMBER(F65)),G65-F65,"")</x:f>
      </x:c>
      <x:c r="O65" s="86" t="n">
        <x:f>IF(AND(I65="有效",F65&lt;='00_使用说明'!$B$8),1,0)</x:f>
        <x:v>0</x:v>
      </x:c>
      <x:c r="P65" s="52" t="str">
        <x:v>R-ACC</x:v>
      </x:c>
      <x:c r="Q65" s="52" t="str">
        <x:v>未来计划节点</x:v>
      </x:c>
      <x:c r="R65" s="52" t="str">
        <x:v>模拟</x:v>
      </x:c>
    </x:row>
    <x:row r="66" ht="27" customHeight="1">
      <x:c r="A66" s="62" t="str">
        <x:v>P-H031</x:v>
      </x:c>
      <x:c r="B66" s="62" t="str">
        <x:v>H031-N017</x:v>
      </x:c>
      <x:c r="C66" s="62" t="str">
        <x:v>船舶合拢</x:v>
      </x:c>
      <x:c r="D66" s="62" t="str">
        <x:v>生产节点</x:v>
      </x:c>
      <x:c r="E66" s="62" t="str">
        <x:v>V1</x:v>
      </x:c>
      <x:c r="F66" s="63" t="n">
        <x:v>46374</x:v>
      </x:c>
      <x:c r="G66" s="63"/>
      <x:c r="H66" s="88" t="str">
        <x:v>未核实</x:v>
      </x:c>
      <x:c r="I66" s="88" t="str">
        <x:v>有效</x:v>
      </x:c>
      <x:c r="J66" s="62" t="str">
        <x:v>生产部</x:v>
      </x:c>
      <x:c r="K66" s="62" t="str">
        <x:v>李工</x:v>
      </x:c>
      <x:c r="L66" s="62" t="str">
        <x:v>内部计划（演示）</x:v>
      </x:c>
      <x:c r="M66" s="86" t="str">
        <x:f>IF(I66&lt;&gt;"有效","已取消",IF(F66&gt;'00_使用说明'!$B$8,"未到期",IF(OR(H66&lt;&gt;"已核实",G66=""),"待核对",IF(G66&lt;=F66,"按期完成","延期完成"))))</x:f>
        <x:v>未到期</x:v>
      </x:c>
      <x:c r="N66" s="86" t="str">
        <x:f>IF(AND(H66="已核实",ISNUMBER(G66),ISNUMBER(F66)),G66-F66,"")</x:f>
      </x:c>
      <x:c r="O66" s="86" t="n">
        <x:f>IF(AND(I66="有效",F66&lt;='00_使用说明'!$B$8),1,0)</x:f>
        <x:v>0</x:v>
      </x:c>
      <x:c r="P66" s="62" t="str">
        <x:v>R-PROD</x:v>
      </x:c>
      <x:c r="Q66" s="62" t="str">
        <x:v>未来计划节点</x:v>
      </x:c>
      <x:c r="R66" s="62" t="str">
        <x:v>模拟</x:v>
      </x:c>
    </x:row>
    <x:row r="67" ht="27" customHeight="1">
      <x:c r="A67" s="52" t="str">
        <x:v>P-H031</x:v>
      </x:c>
      <x:c r="B67" s="52" t="str">
        <x:v>H031-N018</x:v>
      </x:c>
      <x:c r="C67" s="52" t="str">
        <x:v>船舶试航准备</x:v>
      </x:c>
      <x:c r="D67" s="52" t="str">
        <x:v>验收节点</x:v>
      </x:c>
      <x:c r="E67" s="52" t="str">
        <x:v>V1</x:v>
      </x:c>
      <x:c r="F67" s="53" t="n">
        <x:v>46413</x:v>
      </x:c>
      <x:c r="G67" s="53"/>
      <x:c r="H67" s="88" t="str">
        <x:v>未核实</x:v>
      </x:c>
      <x:c r="I67" s="88" t="str">
        <x:v>有效</x:v>
      </x:c>
      <x:c r="J67" s="52" t="str">
        <x:v>项目部</x:v>
      </x:c>
      <x:c r="K67" s="52" t="str">
        <x:v>李工</x:v>
      </x:c>
      <x:c r="L67" s="52" t="str">
        <x:v>内部计划（演示）</x:v>
      </x:c>
      <x:c r="M67" s="86" t="str">
        <x:f>IF(I67&lt;&gt;"有效","已取消",IF(F67&gt;'00_使用说明'!$B$8,"未到期",IF(OR(H67&lt;&gt;"已核实",G67=""),"待核对",IF(G67&lt;=F67,"按期完成","延期完成"))))</x:f>
        <x:v>未到期</x:v>
      </x:c>
      <x:c r="N67" s="86" t="str">
        <x:f>IF(AND(H67="已核实",ISNUMBER(G67),ISNUMBER(F67)),G67-F67,"")</x:f>
      </x:c>
      <x:c r="O67" s="86" t="n">
        <x:f>IF(AND(I67="有效",F67&lt;='00_使用说明'!$B$8),1,0)</x:f>
        <x:v>0</x:v>
      </x:c>
      <x:c r="P67" s="52" t="str">
        <x:v>R-ACC</x:v>
      </x:c>
      <x:c r="Q67" s="52" t="str">
        <x:v>未来计划节点</x:v>
      </x:c>
      <x:c r="R67" s="52" t="str">
        <x:v>模拟</x:v>
      </x:c>
    </x:row>
    <x:row r="68" ht="27" customHeight="1">
      <x:c r="A68" s="62" t="str">
        <x:v>P-H031</x:v>
      </x:c>
      <x:c r="B68" s="62" t="str">
        <x:v>H031-N019</x:v>
      </x:c>
      <x:c r="C68" s="62" t="str">
        <x:v>试航测试</x:v>
      </x:c>
      <x:c r="D68" s="62" t="str">
        <x:v>验收节点</x:v>
      </x:c>
      <x:c r="E68" s="62" t="str">
        <x:v>V1</x:v>
      </x:c>
      <x:c r="F68" s="63" t="n">
        <x:v>46438</x:v>
      </x:c>
      <x:c r="G68" s="63"/>
      <x:c r="H68" s="88" t="str">
        <x:v>未核实</x:v>
      </x:c>
      <x:c r="I68" s="88" t="str">
        <x:v>有效</x:v>
      </x:c>
      <x:c r="J68" s="62" t="str">
        <x:v>质检部</x:v>
      </x:c>
      <x:c r="K68" s="62" t="str">
        <x:v>李工</x:v>
      </x:c>
      <x:c r="L68" s="62" t="str">
        <x:v>内部计划（演示）</x:v>
      </x:c>
      <x:c r="M68" s="86" t="str">
        <x:f>IF(I68&lt;&gt;"有效","已取消",IF(F68&gt;'00_使用说明'!$B$8,"未到期",IF(OR(H68&lt;&gt;"已核实",G68=""),"待核对",IF(G68&lt;=F68,"按期完成","延期完成"))))</x:f>
        <x:v>未到期</x:v>
      </x:c>
      <x:c r="N68" s="86" t="str">
        <x:f>IF(AND(H68="已核实",ISNUMBER(G68),ISNUMBER(F68)),G68-F68,"")</x:f>
      </x:c>
      <x:c r="O68" s="86" t="n">
        <x:f>IF(AND(I68="有效",F68&lt;='00_使用说明'!$B$8),1,0)</x:f>
        <x:v>0</x:v>
      </x:c>
      <x:c r="P68" s="62" t="str">
        <x:v>R-ACC</x:v>
      </x:c>
      <x:c r="Q68" s="62" t="str">
        <x:v>未来计划节点</x:v>
      </x:c>
      <x:c r="R68" s="62" t="str">
        <x:v>模拟</x:v>
      </x:c>
    </x:row>
    <x:row r="69" ht="27" customHeight="1">
      <x:c r="A69" s="52" t="str">
        <x:v>P-H031</x:v>
      </x:c>
      <x:c r="B69" s="52" t="str">
        <x:v>H031-N020</x:v>
      </x:c>
      <x:c r="C69" s="52" t="str">
        <x:v>技术文件整理</x:v>
      </x:c>
      <x:c r="D69" s="52" t="str">
        <x:v>资料签收</x:v>
      </x:c>
      <x:c r="E69" s="52" t="str">
        <x:v>V1</x:v>
      </x:c>
      <x:c r="F69" s="53" t="n">
        <x:v>46454</x:v>
      </x:c>
      <x:c r="G69" s="53"/>
      <x:c r="H69" s="88" t="str">
        <x:v>未核实</x:v>
      </x:c>
      <x:c r="I69" s="88" t="str">
        <x:v>有效</x:v>
      </x:c>
      <x:c r="J69" s="52" t="str">
        <x:v>项目部</x:v>
      </x:c>
      <x:c r="K69" s="52" t="str">
        <x:v>李工</x:v>
      </x:c>
      <x:c r="L69" s="52" t="str">
        <x:v>内部计划（演示）</x:v>
      </x:c>
      <x:c r="M69" s="86" t="str">
        <x:f>IF(I69&lt;&gt;"有效","已取消",IF(F69&gt;'00_使用说明'!$B$8,"未到期",IF(OR(H69&lt;&gt;"已核实",G69=""),"待核对",IF(G69&lt;=F69,"按期完成","延期完成"))))</x:f>
        <x:v>未到期</x:v>
      </x:c>
      <x:c r="N69" s="86" t="str">
        <x:f>IF(AND(H69="已核实",ISNUMBER(G69),ISNUMBER(F69)),G69-F69,"")</x:f>
      </x:c>
      <x:c r="O69" s="86" t="n">
        <x:f>IF(AND(I69="有效",F69&lt;='00_使用说明'!$B$8),1,0)</x:f>
        <x:v>0</x:v>
      </x:c>
      <x:c r="P69" s="52" t="str">
        <x:v>R-DOC</x:v>
      </x:c>
      <x:c r="Q69" s="52" t="str">
        <x:v>未来计划节点</x:v>
      </x:c>
      <x:c r="R69" s="52" t="str">
        <x:v>模拟</x:v>
      </x:c>
    </x:row>
    <x:row r="70" ht="27" customHeight="1">
      <x:c r="A70" s="62" t="str">
        <x:v>P-H031</x:v>
      </x:c>
      <x:c r="B70" s="62" t="str">
        <x:v>H031-N021</x:v>
      </x:c>
      <x:c r="C70" s="62" t="str">
        <x:v>交付通知准备</x:v>
      </x:c>
      <x:c r="D70" s="62" t="str">
        <x:v>资料签收</x:v>
      </x:c>
      <x:c r="E70" s="62" t="str">
        <x:v>V1</x:v>
      </x:c>
      <x:c r="F70" s="63" t="n">
        <x:v>46478</x:v>
      </x:c>
      <x:c r="G70" s="63"/>
      <x:c r="H70" s="88" t="str">
        <x:v>未核实</x:v>
      </x:c>
      <x:c r="I70" s="88" t="str">
        <x:v>有效</x:v>
      </x:c>
      <x:c r="J70" s="62" t="str">
        <x:v>项目部</x:v>
      </x:c>
      <x:c r="K70" s="62" t="str">
        <x:v>李工</x:v>
      </x:c>
      <x:c r="L70" s="62" t="str">
        <x:v>内部计划（演示）</x:v>
      </x:c>
      <x:c r="M70" s="86" t="str">
        <x:f>IF(I70&lt;&gt;"有效","已取消",IF(F70&gt;'00_使用说明'!$B$8,"未到期",IF(OR(H70&lt;&gt;"已核实",G70=""),"待核对",IF(G70&lt;=F70,"按期完成","延期完成"))))</x:f>
        <x:v>未到期</x:v>
      </x:c>
      <x:c r="N70" s="86" t="str">
        <x:f>IF(AND(H70="已核实",ISNUMBER(G70),ISNUMBER(F70)),G70-F70,"")</x:f>
      </x:c>
      <x:c r="O70" s="86" t="n">
        <x:f>IF(AND(I70="有效",F70&lt;='00_使用说明'!$B$8),1,0)</x:f>
        <x:v>0</x:v>
      </x:c>
      <x:c r="P70" s="62" t="str">
        <x:v>R-DOC</x:v>
      </x:c>
      <x:c r="Q70" s="62" t="str">
        <x:v>未来计划节点</x:v>
      </x:c>
      <x:c r="R70" s="62" t="str">
        <x:v>模拟</x:v>
      </x:c>
    </x:row>
    <x:row r="71" ht="27" customHeight="1">
      <x:c r="A71" s="52" t="str">
        <x:v>P-H031</x:v>
      </x:c>
      <x:c r="B71" s="52" t="str">
        <x:v>H031-N022</x:v>
      </x:c>
      <x:c r="C71" s="52" t="str">
        <x:v>尾款付款提醒</x:v>
      </x:c>
      <x:c r="D71" s="52" t="str">
        <x:v>阶段付款</x:v>
      </x:c>
      <x:c r="E71" s="52" t="str">
        <x:v>V1</x:v>
      </x:c>
      <x:c r="F71" s="53" t="n">
        <x:v>46492</x:v>
      </x:c>
      <x:c r="G71" s="53"/>
      <x:c r="H71" s="88" t="str">
        <x:v>未核实</x:v>
      </x:c>
      <x:c r="I71" s="88" t="str">
        <x:v>有效</x:v>
      </x:c>
      <x:c r="J71" s="52" t="str">
        <x:v>财务部</x:v>
      </x:c>
      <x:c r="K71" s="52" t="str">
        <x:v>李工</x:v>
      </x:c>
      <x:c r="L71" s="52" t="str">
        <x:v>合同约定（演示，未核实）</x:v>
      </x:c>
      <x:c r="M71" s="86" t="str">
        <x:f>IF(I71&lt;&gt;"有效","已取消",IF(F71&gt;'00_使用说明'!$B$8,"未到期",IF(OR(H71&lt;&gt;"已核实",G71=""),"待核对",IF(G71&lt;=F71,"按期完成","延期完成"))))</x:f>
        <x:v>未到期</x:v>
      </x:c>
      <x:c r="N71" s="86" t="str">
        <x:f>IF(AND(H71="已核实",ISNUMBER(G71),ISNUMBER(F71)),G71-F71,"")</x:f>
      </x:c>
      <x:c r="O71" s="86" t="n">
        <x:f>IF(AND(I71="有效",F71&lt;='00_使用说明'!$B$8),1,0)</x:f>
        <x:v>0</x:v>
      </x:c>
      <x:c r="P71" s="52" t="str">
        <x:v>R-PAY</x:v>
      </x:c>
      <x:c r="Q71" s="52" t="str">
        <x:v>未来计划节点</x:v>
      </x:c>
      <x:c r="R71" s="52" t="str">
        <x:v>模拟</x:v>
      </x:c>
    </x:row>
    <x:row r="72" ht="27" customHeight="1">
      <x:c r="A72" s="62" t="str">
        <x:v>P-H031</x:v>
      </x:c>
      <x:c r="B72" s="62" t="str">
        <x:v>H031-N023</x:v>
      </x:c>
      <x:c r="C72" s="62" t="str">
        <x:v>项目总结</x:v>
      </x:c>
      <x:c r="D72" s="62" t="str">
        <x:v>项目交付</x:v>
      </x:c>
      <x:c r="E72" s="62" t="str">
        <x:v>V1</x:v>
      </x:c>
      <x:c r="F72" s="63" t="n">
        <x:v>46508</x:v>
      </x:c>
      <x:c r="G72" s="63"/>
      <x:c r="H72" s="88" t="str">
        <x:v>未核实</x:v>
      </x:c>
      <x:c r="I72" s="88" t="str">
        <x:v>有效</x:v>
      </x:c>
      <x:c r="J72" s="62" t="str">
        <x:v>项目部</x:v>
      </x:c>
      <x:c r="K72" s="62" t="str">
        <x:v>李工</x:v>
      </x:c>
      <x:c r="L72" s="62" t="str">
        <x:v>内部计划（演示）</x:v>
      </x:c>
      <x:c r="M72" s="86" t="str">
        <x:f>IF(I72&lt;&gt;"有效","已取消",IF(F72&gt;'00_使用说明'!$B$8,"未到期",IF(OR(H72&lt;&gt;"已核实",G72=""),"待核对",IF(G72&lt;=F72,"按期完成","延期完成"))))</x:f>
        <x:v>未到期</x:v>
      </x:c>
      <x:c r="N72" s="86" t="str">
        <x:f>IF(AND(H72="已核实",ISNUMBER(G72),ISNUMBER(F72)),G72-F72,"")</x:f>
      </x:c>
      <x:c r="O72" s="86" t="n">
        <x:f>IF(AND(I72="有效",F72&lt;='00_使用说明'!$B$8),1,0)</x:f>
        <x:v>0</x:v>
      </x:c>
      <x:c r="P72" s="62" t="str">
        <x:v>R-DEL</x:v>
      </x:c>
      <x:c r="Q72" s="62" t="str">
        <x:v>未来计划节点</x:v>
      </x:c>
      <x:c r="R72" s="62" t="str">
        <x:v>模拟</x:v>
      </x:c>
    </x:row>
    <x:row r="73" ht="27" customHeight="1">
      <x:c r="A73" s="52" t="str">
        <x:v>P-H031</x:v>
      </x:c>
      <x:c r="B73" s="52" t="str">
        <x:v>H031-N024</x:v>
      </x:c>
      <x:c r="C73" s="52" t="str">
        <x:v>项目交付</x:v>
      </x:c>
      <x:c r="D73" s="52" t="str">
        <x:v>项目交付</x:v>
      </x:c>
      <x:c r="E73" s="52" t="str">
        <x:v>V1</x:v>
      </x:c>
      <x:c r="F73" s="53" t="n">
        <x:v>46535</x:v>
      </x:c>
      <x:c r="G73" s="53"/>
      <x:c r="H73" s="88" t="str">
        <x:v>未核实</x:v>
      </x:c>
      <x:c r="I73" s="88" t="str">
        <x:v>有效</x:v>
      </x:c>
      <x:c r="J73" s="52" t="str">
        <x:v>项目部</x:v>
      </x:c>
      <x:c r="K73" s="52" t="str">
        <x:v>李工</x:v>
      </x:c>
      <x:c r="L73" s="52" t="str">
        <x:v>内部计划（演示）</x:v>
      </x:c>
      <x:c r="M73" s="86" t="str">
        <x:f>IF(I73&lt;&gt;"有效","已取消",IF(F73&gt;'00_使用说明'!$B$8,"未到期",IF(OR(H73&lt;&gt;"已核实",G73=""),"待核对",IF(G73&lt;=F73,"按期完成","延期完成"))))</x:f>
        <x:v>未到期</x:v>
      </x:c>
      <x:c r="N73" s="86" t="str">
        <x:f>IF(AND(H73="已核实",ISNUMBER(G73),ISNUMBER(F73)),G73-F73,"")</x:f>
      </x:c>
      <x:c r="O73" s="86" t="n">
        <x:f>IF(AND(I73="有效",F73&lt;='00_使用说明'!$B$8),1,0)</x:f>
        <x:v>0</x:v>
      </x:c>
      <x:c r="P73" s="52" t="str">
        <x:v>R-DEL</x:v>
      </x:c>
      <x:c r="Q73" s="52" t="str">
        <x:v>未来计划节点</x:v>
      </x:c>
      <x:c r="R73" s="52" t="str">
        <x:v>模拟</x:v>
      </x:c>
    </x:row>
  </x:sheetData>
  <x:mergeCells>
    <x:mergeCell ref="A1:R2"/>
    <x:mergeCell ref="A3:R3"/>
  </x:mergeCells>
  <x:conditionalFormatting sqref="M7:M73">
    <x:cfRule type="expression" dxfId="0" priority="1">
      <x:formula>$M7="延期完成"</x:formula>
    </x:cfRule>
    <x:cfRule type="expression" dxfId="1" priority="2">
      <x:formula>$M7="待核对"</x:formula>
    </x:cfRule>
    <x:cfRule type="expression" dxfId="2" priority="3">
      <x:formula>$M7="按期完成"</x:formula>
    </x:cfRule>
  </x:conditionalFormatting>
  <x:dataValidations count="2">
    <x:dataValidation type="list" sqref="H7:H73">
      <x:formula1>"已核实,待核实,未核实"</x:formula1>
    </x:dataValidation>
    <x:dataValidation type="list" sqref="I7:I73">
      <x:formula1>"有效,已取消"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1144a6f71b4b6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4" hidden="0" customWidth="1"/>
    <x:col min="4" max="4" width="49" hidden="0" customWidth="1"/>
    <x:col min="5" max="5" width="38" hidden="0" customWidth="1"/>
    <x:col min="6" max="6" width="17" hidden="0" customWidth="1"/>
    <x:col min="7" max="7" width="14" hidden="0" customWidth="1"/>
    <x:col min="8" max="8" width="15" hidden="0" customWidth="1"/>
    <x:col min="9" max="9" width="31" hidden="0" customWidth="1"/>
    <x:col min="10" max="10" width="18" hidden="0" customWidth="1"/>
    <x:col min="11" max="11" width="19" hidden="0" customWidth="1"/>
    <x:col min="12" max="12" width="17" hidden="0" customWidth="1"/>
  </x:cols>
  <x:sheetData>
    <x:row r="1" ht="24" customHeight="1">
      <x:c r="A1" s="4" t="str">
        <x:v>03  节点标准动作与提醒规则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演示模板，尚未经业务确认。提醒日历口径包含自然日/工作日；实际节假日清单待补充。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6" ht="34" customHeight="1">
      <x:c r="A6" s="17" t="str">
        <x:v>标准动作编号</x:v>
      </x:c>
      <x:c r="B6" s="17" t="str">
        <x:v>关联节点类型</x:v>
      </x:c>
      <x:c r="C6" s="17" t="str">
        <x:v>动作序号</x:v>
      </x:c>
      <x:c r="D6" s="17" t="str">
        <x:v>标准动作内容</x:v>
      </x:c>
      <x:c r="E6" s="17" t="str">
        <x:v>需准备的文件材料</x:v>
      </x:c>
      <x:c r="F6" s="17" t="str">
        <x:v>默认责任部门</x:v>
      </x:c>
      <x:c r="G6" s="17" t="str">
        <x:v>提前天数</x:v>
      </x:c>
      <x:c r="H6" s="17" t="str">
        <x:v>日历口径</x:v>
      </x:c>
      <x:c r="I6" s="17" t="str">
        <x:v>适用条件</x:v>
      </x:c>
      <x:c r="J6" s="17" t="str">
        <x:v>业务确认状态</x:v>
      </x:c>
      <x:c r="K6" s="17" t="str">
        <x:v>提醒规则编号</x:v>
      </x:c>
      <x:c r="L6" s="17" t="str">
        <x:v>数据属性</x:v>
      </x:c>
    </x:row>
    <x:row r="7" ht="38" customHeight="1">
      <x:c r="A7" s="52" t="str">
        <x:v>AT-CON-01</x:v>
      </x:c>
      <x:c r="B7" s="52" t="str">
        <x:v>合同签订</x:v>
      </x:c>
      <x:c r="C7" s="52" t="n">
        <x:v>1</x:v>
      </x:c>
      <x:c r="D7" s="52" t="str">
        <x:v>核对合同签署文本及附件</x:v>
      </x:c>
      <x:c r="E7" s="52" t="str">
        <x:v>合同定稿、合同附件</x:v>
      </x:c>
      <x:c r="F7" s="52" t="str">
        <x:v>经营部</x:v>
      </x:c>
      <x:c r="G7" s="52" t="n">
        <x:v>7</x:v>
      </x:c>
      <x:c r="H7" s="52" t="str">
        <x:v>自然日</x:v>
      </x:c>
      <x:c r="I7" s="52" t="str">
        <x:v>试点项目适用条件待确认</x:v>
      </x:c>
      <x:c r="J7" s="52" t="str">
        <x:v>待业务确认</x:v>
      </x:c>
      <x:c r="K7" s="52" t="str">
        <x:v>R-CON</x:v>
      </x:c>
      <x:c r="L7" s="52" t="str">
        <x:v>演示标准动作</x:v>
      </x:c>
    </x:row>
    <x:row r="8" ht="38" customHeight="1">
      <x:c r="A8" s="62" t="str">
        <x:v>AT-CON-02</x:v>
      </x:c>
      <x:c r="B8" s="62" t="str">
        <x:v>合同签订</x:v>
      </x:c>
      <x:c r="C8" s="62" t="n">
        <x:v>2</x:v>
      </x:c>
      <x:c r="D8" s="62" t="str">
        <x:v>确认签字盖章流程与责任人</x:v>
      </x:c>
      <x:c r="E8" s="62" t="str">
        <x:v>签署审批单</x:v>
      </x:c>
      <x:c r="F8" s="62" t="str">
        <x:v>经营部</x:v>
      </x:c>
      <x:c r="G8" s="62" t="n">
        <x:v>7</x:v>
      </x:c>
      <x:c r="H8" s="62" t="str">
        <x:v>自然日</x:v>
      </x:c>
      <x:c r="I8" s="62" t="str">
        <x:v>试点项目适用条件待确认</x:v>
      </x:c>
      <x:c r="J8" s="62" t="str">
        <x:v>待业务确认</x:v>
      </x:c>
      <x:c r="K8" s="62" t="str">
        <x:v>R-CON</x:v>
      </x:c>
      <x:c r="L8" s="62" t="str">
        <x:v>演示标准动作</x:v>
      </x:c>
    </x:row>
    <x:row r="9" ht="38" customHeight="1">
      <x:c r="A9" s="52" t="str">
        <x:v>AT-START-01</x:v>
      </x:c>
      <x:c r="B9" s="52" t="str">
        <x:v>开工准备</x:v>
      </x:c>
      <x:c r="C9" s="52" t="n">
        <x:v>1</x:v>
      </x:c>
      <x:c r="D9" s="52" t="str">
        <x:v>检查开工前准备清单</x:v>
      </x:c>
      <x:c r="E9" s="52" t="str">
        <x:v>开工准备清单</x:v>
      </x:c>
      <x:c r="F9" s="52" t="str">
        <x:v>项目部</x:v>
      </x:c>
      <x:c r="G9" s="52" t="n">
        <x:v>5</x:v>
      </x:c>
      <x:c r="H9" s="52" t="str">
        <x:v>工作日</x:v>
      </x:c>
      <x:c r="I9" s="52" t="str">
        <x:v>试点项目适用条件待确认</x:v>
      </x:c>
      <x:c r="J9" s="52" t="str">
        <x:v>待业务确认</x:v>
      </x:c>
      <x:c r="K9" s="52" t="str">
        <x:v>R-START</x:v>
      </x:c>
      <x:c r="L9" s="52" t="str">
        <x:v>演示标准动作</x:v>
      </x:c>
    </x:row>
    <x:row r="10" ht="38" customHeight="1">
      <x:c r="A10" s="62" t="str">
        <x:v>AT-START-02</x:v>
      </x:c>
      <x:c r="B10" s="62" t="str">
        <x:v>开工准备</x:v>
      </x:c>
      <x:c r="C10" s="62" t="n">
        <x:v>2</x:v>
      </x:c>
      <x:c r="D10" s="62" t="str">
        <x:v>协调责任部门落实进场条件</x:v>
      </x:c>
      <x:c r="E10" s="62" t="str">
        <x:v>开工组织计划</x:v>
      </x:c>
      <x:c r="F10" s="62" t="str">
        <x:v>项目部</x:v>
      </x:c>
      <x:c r="G10" s="62" t="n">
        <x:v>5</x:v>
      </x:c>
      <x:c r="H10" s="62" t="str">
        <x:v>工作日</x:v>
      </x:c>
      <x:c r="I10" s="62" t="str">
        <x:v>试点项目适用条件待确认</x:v>
      </x:c>
      <x:c r="J10" s="62" t="str">
        <x:v>待业务确认</x:v>
      </x:c>
      <x:c r="K10" s="62" t="str">
        <x:v>R-START</x:v>
      </x:c>
      <x:c r="L10" s="62" t="str">
        <x:v>演示标准动作</x:v>
      </x:c>
    </x:row>
    <x:row r="11" ht="38" customHeight="1">
      <x:c r="A11" s="52" t="str">
        <x:v>AT-DESMAT-01</x:v>
      </x:c>
      <x:c r="B11" s="52" t="str">
        <x:v>设计资料</x:v>
      </x:c>
      <x:c r="C11" s="52" t="n">
        <x:v>1</x:v>
      </x:c>
      <x:c r="D11" s="52" t="str">
        <x:v>确认设计资料清单及版本</x:v>
      </x:c>
      <x:c r="E11" s="52" t="str">
        <x:v>设计资料目录</x:v>
      </x:c>
      <x:c r="F11" s="52" t="str">
        <x:v>设计部</x:v>
      </x:c>
      <x:c r="G11" s="52" t="n">
        <x:v>3</x:v>
      </x:c>
      <x:c r="H11" s="52" t="str">
        <x:v>工作日</x:v>
      </x:c>
      <x:c r="I11" s="52" t="str">
        <x:v>试点项目适用条件待确认</x:v>
      </x:c>
      <x:c r="J11" s="52" t="str">
        <x:v>待业务确认</x:v>
      </x:c>
      <x:c r="K11" s="52" t="str">
        <x:v>R-DES</x:v>
      </x:c>
      <x:c r="L11" s="52" t="str">
        <x:v>演示标准动作</x:v>
      </x:c>
    </x:row>
    <x:row r="12" ht="38" customHeight="1">
      <x:c r="A12" s="62" t="str">
        <x:v>AT-DESMAT-02</x:v>
      </x:c>
      <x:c r="B12" s="62" t="str">
        <x:v>设计资料</x:v>
      </x:c>
      <x:c r="C12" s="62" t="n">
        <x:v>2</x:v>
      </x:c>
      <x:c r="D12" s="62" t="str">
        <x:v>组织资料审核与反馈</x:v>
      </x:c>
      <x:c r="E12" s="62" t="str">
        <x:v>审核意见记录</x:v>
      </x:c>
      <x:c r="F12" s="62" t="str">
        <x:v>设计部</x:v>
      </x:c>
      <x:c r="G12" s="62" t="n">
        <x:v>3</x:v>
      </x:c>
      <x:c r="H12" s="62" t="str">
        <x:v>工作日</x:v>
      </x:c>
      <x:c r="I12" s="62" t="str">
        <x:v>试点项目适用条件待确认</x:v>
      </x:c>
      <x:c r="J12" s="62" t="str">
        <x:v>待业务确认</x:v>
      </x:c>
      <x:c r="K12" s="62" t="str">
        <x:v>R-DES</x:v>
      </x:c>
      <x:c r="L12" s="62" t="str">
        <x:v>演示标准动作</x:v>
      </x:c>
    </x:row>
    <x:row r="13" ht="38" customHeight="1">
      <x:c r="A13" s="52" t="str">
        <x:v>AT-DESREV-01</x:v>
      </x:c>
      <x:c r="B13" s="52" t="str">
        <x:v>图纸审核</x:v>
      </x:c>
      <x:c r="C13" s="52" t="n">
        <x:v>1</x:v>
      </x:c>
      <x:c r="D13" s="52" t="str">
        <x:v>汇总待审核图纸及版本</x:v>
      </x:c>
      <x:c r="E13" s="52" t="str">
        <x:v>图纸明细</x:v>
      </x:c>
      <x:c r="F13" s="52" t="str">
        <x:v>设计部</x:v>
      </x:c>
      <x:c r="G13" s="52" t="n">
        <x:v>3</x:v>
      </x:c>
      <x:c r="H13" s="52" t="str">
        <x:v>工作日</x:v>
      </x:c>
      <x:c r="I13" s="52" t="str">
        <x:v>试点项目适用条件待确认</x:v>
      </x:c>
      <x:c r="J13" s="52" t="str">
        <x:v>待业务确认</x:v>
      </x:c>
      <x:c r="K13" s="52" t="str">
        <x:v>R-DES</x:v>
      </x:c>
      <x:c r="L13" s="52" t="str">
        <x:v>演示标准动作</x:v>
      </x:c>
    </x:row>
    <x:row r="14" ht="38" customHeight="1">
      <x:c r="A14" s="62" t="str">
        <x:v>AT-DESREV-02</x:v>
      </x:c>
      <x:c r="B14" s="62" t="str">
        <x:v>图纸审核</x:v>
      </x:c>
      <x:c r="C14" s="62" t="n">
        <x:v>2</x:v>
      </x:c>
      <x:c r="D14" s="62" t="str">
        <x:v>落实图纸审核结论记录</x:v>
      </x:c>
      <x:c r="E14" s="62" t="str">
        <x:v>审核记录</x:v>
      </x:c>
      <x:c r="F14" s="62" t="str">
        <x:v>设计部</x:v>
      </x:c>
      <x:c r="G14" s="62" t="n">
        <x:v>3</x:v>
      </x:c>
      <x:c r="H14" s="62" t="str">
        <x:v>工作日</x:v>
      </x:c>
      <x:c r="I14" s="62" t="str">
        <x:v>试点项目适用条件待确认</x:v>
      </x:c>
      <x:c r="J14" s="62" t="str">
        <x:v>待业务确认</x:v>
      </x:c>
      <x:c r="K14" s="62" t="str">
        <x:v>R-DES</x:v>
      </x:c>
      <x:c r="L14" s="62" t="str">
        <x:v>演示标准动作</x:v>
      </x:c>
    </x:row>
    <x:row r="15" ht="38" customHeight="1">
      <x:c r="A15" s="52" t="str">
        <x:v>AT-PROC-01</x:v>
      </x:c>
      <x:c r="B15" s="52" t="str">
        <x:v>采购确认</x:v>
      </x:c>
      <x:c r="C15" s="52" t="n">
        <x:v>1</x:v>
      </x:c>
      <x:c r="D15" s="52" t="str">
        <x:v>确认采购计划及到货节点</x:v>
      </x:c>
      <x:c r="E15" s="52" t="str">
        <x:v>采购计划</x:v>
      </x:c>
      <x:c r="F15" s="52" t="str">
        <x:v>采购部</x:v>
      </x:c>
      <x:c r="G15" s="52" t="n">
        <x:v>3</x:v>
      </x:c>
      <x:c r="H15" s="52" t="str">
        <x:v>工作日</x:v>
      </x:c>
      <x:c r="I15" s="52" t="str">
        <x:v>试点项目适用条件待确认</x:v>
      </x:c>
      <x:c r="J15" s="52" t="str">
        <x:v>待业务确认</x:v>
      </x:c>
      <x:c r="K15" s="52" t="str">
        <x:v>R-PROC</x:v>
      </x:c>
      <x:c r="L15" s="52" t="str">
        <x:v>演示标准动作</x:v>
      </x:c>
    </x:row>
    <x:row r="16" ht="38" customHeight="1">
      <x:c r="A16" s="62" t="str">
        <x:v>AT-PROC-02</x:v>
      </x:c>
      <x:c r="B16" s="62" t="str">
        <x:v>采购确认</x:v>
      </x:c>
      <x:c r="C16" s="62" t="n">
        <x:v>2</x:v>
      </x:c>
      <x:c r="D16" s="62" t="str">
        <x:v>核对供应商交期与质量要求</x:v>
      </x:c>
      <x:c r="E16" s="62" t="str">
        <x:v>采购合同或订单</x:v>
      </x:c>
      <x:c r="F16" s="62" t="str">
        <x:v>采购部</x:v>
      </x:c>
      <x:c r="G16" s="62" t="n">
        <x:v>3</x:v>
      </x:c>
      <x:c r="H16" s="62" t="str">
        <x:v>工作日</x:v>
      </x:c>
      <x:c r="I16" s="62" t="str">
        <x:v>试点项目适用条件待确认</x:v>
      </x:c>
      <x:c r="J16" s="62" t="str">
        <x:v>待业务确认</x:v>
      </x:c>
      <x:c r="K16" s="62" t="str">
        <x:v>R-PROC</x:v>
      </x:c>
      <x:c r="L16" s="62" t="str">
        <x:v>演示标准动作</x:v>
      </x:c>
    </x:row>
    <x:row r="17" ht="38" customHeight="1">
      <x:c r="A17" s="52" t="str">
        <x:v>AT-DOC-01</x:v>
      </x:c>
      <x:c r="B17" s="52" t="str">
        <x:v>资料签收</x:v>
      </x:c>
      <x:c r="C17" s="52" t="n">
        <x:v>1</x:v>
      </x:c>
      <x:c r="D17" s="52" t="str">
        <x:v>检查资料齐套性及签收人</x:v>
      </x:c>
      <x:c r="E17" s="52" t="str">
        <x:v>签收清单</x:v>
      </x:c>
      <x:c r="F17" s="52" t="str">
        <x:v>项目部</x:v>
      </x:c>
      <x:c r="G17" s="52" t="n">
        <x:v>5</x:v>
      </x:c>
      <x:c r="H17" s="52" t="str">
        <x:v>自然日</x:v>
      </x:c>
      <x:c r="I17" s="52" t="str">
        <x:v>试点项目适用条件待确认</x:v>
      </x:c>
      <x:c r="J17" s="52" t="str">
        <x:v>待业务确认</x:v>
      </x:c>
      <x:c r="K17" s="52" t="str">
        <x:v>R-DOC</x:v>
      </x:c>
      <x:c r="L17" s="52" t="str">
        <x:v>演示标准动作</x:v>
      </x:c>
    </x:row>
    <x:row r="18" ht="38" customHeight="1">
      <x:c r="A18" s="62" t="str">
        <x:v>AT-DOC-02</x:v>
      </x:c>
      <x:c r="B18" s="62" t="str">
        <x:v>资料签收</x:v>
      </x:c>
      <x:c r="C18" s="62" t="n">
        <x:v>2</x:v>
      </x:c>
      <x:c r="D18" s="62" t="str">
        <x:v>确认签收凭证归档</x:v>
      </x:c>
      <x:c r="E18" s="62" t="str">
        <x:v>签收单或回执</x:v>
      </x:c>
      <x:c r="F18" s="62" t="str">
        <x:v>项目部</x:v>
      </x:c>
      <x:c r="G18" s="62" t="n">
        <x:v>5</x:v>
      </x:c>
      <x:c r="H18" s="62" t="str">
        <x:v>自然日</x:v>
      </x:c>
      <x:c r="I18" s="62" t="str">
        <x:v>试点项目适用条件待确认</x:v>
      </x:c>
      <x:c r="J18" s="62" t="str">
        <x:v>待业务确认</x:v>
      </x:c>
      <x:c r="K18" s="62" t="str">
        <x:v>R-DOC</x:v>
      </x:c>
      <x:c r="L18" s="62" t="str">
        <x:v>演示标准动作</x:v>
      </x:c>
    </x:row>
    <x:row r="19" ht="38" customHeight="1">
      <x:c r="A19" s="52" t="str">
        <x:v>AT-PROD-01</x:v>
      </x:c>
      <x:c r="B19" s="52" t="str">
        <x:v>生产节点</x:v>
      </x:c>
      <x:c r="C19" s="52" t="n">
        <x:v>1</x:v>
      </x:c>
      <x:c r="D19" s="52" t="str">
        <x:v>确认生产计划与人员安排</x:v>
      </x:c>
      <x:c r="E19" s="52" t="str">
        <x:v>生产计划</x:v>
      </x:c>
      <x:c r="F19" s="52" t="str">
        <x:v>生产部</x:v>
      </x:c>
      <x:c r="G19" s="52" t="n">
        <x:v>5</x:v>
      </x:c>
      <x:c r="H19" s="52" t="str">
        <x:v>工作日</x:v>
      </x:c>
      <x:c r="I19" s="52" t="str">
        <x:v>试点项目适用条件待确认</x:v>
      </x:c>
      <x:c r="J19" s="52" t="str">
        <x:v>待业务确认</x:v>
      </x:c>
      <x:c r="K19" s="52" t="str">
        <x:v>R-PROD</x:v>
      </x:c>
      <x:c r="L19" s="52" t="str">
        <x:v>演示标准动作</x:v>
      </x:c>
    </x:row>
    <x:row r="20" ht="38" customHeight="1">
      <x:c r="A20" s="62" t="str">
        <x:v>AT-PROD-02</x:v>
      </x:c>
      <x:c r="B20" s="62" t="str">
        <x:v>生产节点</x:v>
      </x:c>
      <x:c r="C20" s="62" t="n">
        <x:v>2</x:v>
      </x:c>
      <x:c r="D20" s="62" t="str">
        <x:v>检查关键材料与设备准备</x:v>
      </x:c>
      <x:c r="E20" s="62" t="str">
        <x:v>生产准备检查表</x:v>
      </x:c>
      <x:c r="F20" s="62" t="str">
        <x:v>生产部</x:v>
      </x:c>
      <x:c r="G20" s="62" t="n">
        <x:v>5</x:v>
      </x:c>
      <x:c r="H20" s="62" t="str">
        <x:v>工作日</x:v>
      </x:c>
      <x:c r="I20" s="62" t="str">
        <x:v>试点项目适用条件待确认</x:v>
      </x:c>
      <x:c r="J20" s="62" t="str">
        <x:v>待业务确认</x:v>
      </x:c>
      <x:c r="K20" s="62" t="str">
        <x:v>R-PROD</x:v>
      </x:c>
      <x:c r="L20" s="62" t="str">
        <x:v>演示标准动作</x:v>
      </x:c>
    </x:row>
    <x:row r="21" ht="38" customHeight="1">
      <x:c r="A21" s="52" t="str">
        <x:v>AT-REC-01</x:v>
      </x:c>
      <x:c r="B21" s="52" t="str">
        <x:v>阶段收款</x:v>
      </x:c>
      <x:c r="C21" s="52" t="n">
        <x:v>1</x:v>
      </x:c>
      <x:c r="D21" s="52" t="str">
        <x:v>核对合同约定阶段收款条件</x:v>
      </x:c>
      <x:c r="E21" s="52" t="str">
        <x:v>合同及里程碑条款</x:v>
      </x:c>
      <x:c r="F21" s="52" t="str">
        <x:v>财务部</x:v>
      </x:c>
      <x:c r="G21" s="52" t="n">
        <x:v>7</x:v>
      </x:c>
      <x:c r="H21" s="52" t="str">
        <x:v>自然日</x:v>
      </x:c>
      <x:c r="I21" s="52" t="str">
        <x:v>试点项目适用条件待确认</x:v>
      </x:c>
      <x:c r="J21" s="52" t="str">
        <x:v>待业务确认</x:v>
      </x:c>
      <x:c r="K21" s="52" t="str">
        <x:v>R-REC</x:v>
      </x:c>
      <x:c r="L21" s="52" t="str">
        <x:v>演示标准动作</x:v>
      </x:c>
    </x:row>
    <x:row r="22" ht="38" customHeight="1">
      <x:c r="A22" s="62" t="str">
        <x:v>AT-REC-02</x:v>
      </x:c>
      <x:c r="B22" s="62" t="str">
        <x:v>阶段收款</x:v>
      </x:c>
      <x:c r="C22" s="62" t="n">
        <x:v>2</x:v>
      </x:c>
      <x:c r="D22" s="62" t="str">
        <x:v>收集履约、验收及开票支持材料</x:v>
      </x:c>
      <x:c r="E22" s="62" t="str">
        <x:v>履约证明、验收资料</x:v>
      </x:c>
      <x:c r="F22" s="62" t="str">
        <x:v>财务部</x:v>
      </x:c>
      <x:c r="G22" s="62" t="n">
        <x:v>7</x:v>
      </x:c>
      <x:c r="H22" s="62" t="str">
        <x:v>自然日</x:v>
      </x:c>
      <x:c r="I22" s="62" t="str">
        <x:v>试点项目适用条件待确认</x:v>
      </x:c>
      <x:c r="J22" s="62" t="str">
        <x:v>待业务确认</x:v>
      </x:c>
      <x:c r="K22" s="62" t="str">
        <x:v>R-REC</x:v>
      </x:c>
      <x:c r="L22" s="62" t="str">
        <x:v>演示标准动作</x:v>
      </x:c>
    </x:row>
    <x:row r="23" ht="38" customHeight="1">
      <x:c r="A23" s="52" t="str">
        <x:v>AT-REC-03</x:v>
      </x:c>
      <x:c r="B23" s="52" t="str">
        <x:v>阶段收款</x:v>
      </x:c>
      <x:c r="C23" s="52" t="n">
        <x:v>3</x:v>
      </x:c>
      <x:c r="D23" s="52" t="str">
        <x:v>形成财务跟进通知草稿</x:v>
      </x:c>
      <x:c r="E23" s="52" t="str">
        <x:v>收款准备核对单</x:v>
      </x:c>
      <x:c r="F23" s="52" t="str">
        <x:v>财务部</x:v>
      </x:c>
      <x:c r="G23" s="52" t="n">
        <x:v>7</x:v>
      </x:c>
      <x:c r="H23" s="52" t="str">
        <x:v>自然日</x:v>
      </x:c>
      <x:c r="I23" s="52" t="str">
        <x:v>试点项目适用条件待确认</x:v>
      </x:c>
      <x:c r="J23" s="52" t="str">
        <x:v>待业务确认</x:v>
      </x:c>
      <x:c r="K23" s="52" t="str">
        <x:v>R-REC</x:v>
      </x:c>
      <x:c r="L23" s="52" t="str">
        <x:v>演示标准动作</x:v>
      </x:c>
    </x:row>
    <x:row r="24" ht="38" customHeight="1">
      <x:c r="A24" s="62" t="str">
        <x:v>AT-PAY-01</x:v>
      </x:c>
      <x:c r="B24" s="62" t="str">
        <x:v>阶段付款</x:v>
      </x:c>
      <x:c r="C24" s="62" t="n">
        <x:v>1</x:v>
      </x:c>
      <x:c r="D24" s="62" t="str">
        <x:v>核对阶段付款条件与审批要求</x:v>
      </x:c>
      <x:c r="E24" s="62" t="str">
        <x:v>合同、付款申请</x:v>
      </x:c>
      <x:c r="F24" s="62" t="str">
        <x:v>财务部</x:v>
      </x:c>
      <x:c r="G24" s="62" t="n">
        <x:v>5</x:v>
      </x:c>
      <x:c r="H24" s="62" t="str">
        <x:v>自然日</x:v>
      </x:c>
      <x:c r="I24" s="62" t="str">
        <x:v>试点项目适用条件待确认</x:v>
      </x:c>
      <x:c r="J24" s="62" t="str">
        <x:v>待业务确认</x:v>
      </x:c>
      <x:c r="K24" s="62" t="str">
        <x:v>R-PAY</x:v>
      </x:c>
      <x:c r="L24" s="62" t="str">
        <x:v>演示标准动作</x:v>
      </x:c>
    </x:row>
    <x:row r="25" ht="38" customHeight="1">
      <x:c r="A25" s="52" t="str">
        <x:v>AT-PAY-02</x:v>
      </x:c>
      <x:c r="B25" s="52" t="str">
        <x:v>阶段付款</x:v>
      </x:c>
      <x:c r="C25" s="52" t="n">
        <x:v>2</x:v>
      </x:c>
      <x:c r="D25" s="52" t="str">
        <x:v>准备付款计划核对材料</x:v>
      </x:c>
      <x:c r="E25" s="52" t="str">
        <x:v>付款计划、附件</x:v>
      </x:c>
      <x:c r="F25" s="52" t="str">
        <x:v>财务部</x:v>
      </x:c>
      <x:c r="G25" s="52" t="n">
        <x:v>5</x:v>
      </x:c>
      <x:c r="H25" s="52" t="str">
        <x:v>自然日</x:v>
      </x:c>
      <x:c r="I25" s="52" t="str">
        <x:v>试点项目适用条件待确认</x:v>
      </x:c>
      <x:c r="J25" s="52" t="str">
        <x:v>待业务确认</x:v>
      </x:c>
      <x:c r="K25" s="52" t="str">
        <x:v>R-PAY</x:v>
      </x:c>
      <x:c r="L25" s="52" t="str">
        <x:v>演示标准动作</x:v>
      </x:c>
    </x:row>
    <x:row r="26" ht="38" customHeight="1">
      <x:c r="A26" s="62" t="str">
        <x:v>AT-PAY-03</x:v>
      </x:c>
      <x:c r="B26" s="62" t="str">
        <x:v>阶段付款</x:v>
      </x:c>
      <x:c r="C26" s="62" t="n">
        <x:v>3</x:v>
      </x:c>
      <x:c r="D26" s="62" t="str">
        <x:v>形成付款准备提醒草稿（非付款指令）</x:v>
      </x:c>
      <x:c r="E26" s="62" t="str">
        <x:v>付款准备清单</x:v>
      </x:c>
      <x:c r="F26" s="62" t="str">
        <x:v>财务部</x:v>
      </x:c>
      <x:c r="G26" s="62" t="n">
        <x:v>5</x:v>
      </x:c>
      <x:c r="H26" s="62" t="str">
        <x:v>自然日</x:v>
      </x:c>
      <x:c r="I26" s="62" t="str">
        <x:v>试点项目适用条件待确认</x:v>
      </x:c>
      <x:c r="J26" s="62" t="str">
        <x:v>待业务确认</x:v>
      </x:c>
      <x:c r="K26" s="62" t="str">
        <x:v>R-PAY</x:v>
      </x:c>
      <x:c r="L26" s="62" t="str">
        <x:v>演示标准动作</x:v>
      </x:c>
    </x:row>
    <x:row r="27" ht="38" customHeight="1">
      <x:c r="A27" s="52" t="str">
        <x:v>AT-ACC-01</x:v>
      </x:c>
      <x:c r="B27" s="52" t="str">
        <x:v>验收节点</x:v>
      </x:c>
      <x:c r="C27" s="52" t="n">
        <x:v>1</x:v>
      </x:c>
      <x:c r="D27" s="52" t="str">
        <x:v>核对验收标准与计划日期</x:v>
      </x:c>
      <x:c r="E27" s="52" t="str">
        <x:v>验收计划、标准</x:v>
      </x:c>
      <x:c r="F27" s="52" t="str">
        <x:v>质检部</x:v>
      </x:c>
      <x:c r="G27" s="52" t="n">
        <x:v>7</x:v>
      </x:c>
      <x:c r="H27" s="52" t="str">
        <x:v>自然日</x:v>
      </x:c>
      <x:c r="I27" s="52" t="str">
        <x:v>试点项目适用条件待确认</x:v>
      </x:c>
      <x:c r="J27" s="52" t="str">
        <x:v>待业务确认</x:v>
      </x:c>
      <x:c r="K27" s="52" t="str">
        <x:v>R-ACC</x:v>
      </x:c>
      <x:c r="L27" s="52" t="str">
        <x:v>演示标准动作</x:v>
      </x:c>
    </x:row>
    <x:row r="28" ht="38" customHeight="1">
      <x:c r="A28" s="62" t="str">
        <x:v>AT-ACC-02</x:v>
      </x:c>
      <x:c r="B28" s="62" t="str">
        <x:v>验收节点</x:v>
      </x:c>
      <x:c r="C28" s="62" t="n">
        <x:v>2</x:v>
      </x:c>
      <x:c r="D28" s="62" t="str">
        <x:v>准备验收记录与验收人员安排</x:v>
      </x:c>
      <x:c r="E28" s="62" t="str">
        <x:v>验收清单</x:v>
      </x:c>
      <x:c r="F28" s="62" t="str">
        <x:v>质检部</x:v>
      </x:c>
      <x:c r="G28" s="62" t="n">
        <x:v>7</x:v>
      </x:c>
      <x:c r="H28" s="62" t="str">
        <x:v>自然日</x:v>
      </x:c>
      <x:c r="I28" s="62" t="str">
        <x:v>试点项目适用条件待确认</x:v>
      </x:c>
      <x:c r="J28" s="62" t="str">
        <x:v>待业务确认</x:v>
      </x:c>
      <x:c r="K28" s="62" t="str">
        <x:v>R-ACC</x:v>
      </x:c>
      <x:c r="L28" s="62" t="str">
        <x:v>演示标准动作</x:v>
      </x:c>
    </x:row>
    <x:row r="29" ht="38" customHeight="1">
      <x:c r="A29" s="52" t="str">
        <x:v>AT-DEL-01</x:v>
      </x:c>
      <x:c r="B29" s="52" t="str">
        <x:v>项目交付</x:v>
      </x:c>
      <x:c r="C29" s="52" t="n">
        <x:v>1</x:v>
      </x:c>
      <x:c r="D29" s="52" t="str">
        <x:v>核对交付条件及遗留问题</x:v>
      </x:c>
      <x:c r="E29" s="52" t="str">
        <x:v>交付计划</x:v>
      </x:c>
      <x:c r="F29" s="52" t="str">
        <x:v>项目部</x:v>
      </x:c>
      <x:c r="G29" s="52" t="n">
        <x:v>14</x:v>
      </x:c>
      <x:c r="H29" s="52" t="str">
        <x:v>自然日</x:v>
      </x:c>
      <x:c r="I29" s="52" t="str">
        <x:v>试点项目适用条件待确认</x:v>
      </x:c>
      <x:c r="J29" s="52" t="str">
        <x:v>待业务确认</x:v>
      </x:c>
      <x:c r="K29" s="52" t="str">
        <x:v>R-DEL</x:v>
      </x:c>
      <x:c r="L29" s="52" t="str">
        <x:v>演示标准动作</x:v>
      </x:c>
    </x:row>
    <x:row r="30" ht="38" customHeight="1">
      <x:c r="A30" s="62" t="str">
        <x:v>AT-DEL-02</x:v>
      </x:c>
      <x:c r="B30" s="62" t="str">
        <x:v>项目交付</x:v>
      </x:c>
      <x:c r="C30" s="62" t="n">
        <x:v>2</x:v>
      </x:c>
      <x:c r="D30" s="62" t="str">
        <x:v>准备交付资料与责任清单</x:v>
      </x:c>
      <x:c r="E30" s="62" t="str">
        <x:v>交付文件清单</x:v>
      </x:c>
      <x:c r="F30" s="62" t="str">
        <x:v>项目部</x:v>
      </x:c>
      <x:c r="G30" s="62" t="n">
        <x:v>14</x:v>
      </x:c>
      <x:c r="H30" s="62" t="str">
        <x:v>自然日</x:v>
      </x:c>
      <x:c r="I30" s="62" t="str">
        <x:v>试点项目适用条件待确认</x:v>
      </x:c>
      <x:c r="J30" s="62" t="str">
        <x:v>待业务确认</x:v>
      </x:c>
      <x:c r="K30" s="62" t="str">
        <x:v>R-DEL</x:v>
      </x:c>
      <x:c r="L30" s="62" t="str">
        <x:v>演示标准动作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f146f53b6513473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8" hidden="0" customWidth="1"/>
    <x:col min="5" max="5" width="14" hidden="0" customWidth="1"/>
    <x:col min="6" max="6" width="18" hidden="0" customWidth="1"/>
    <x:col min="7" max="7" width="21" hidden="0" customWidth="1"/>
    <x:col min="8" max="8" width="19" hidden="0" customWidth="1"/>
    <x:col min="9" max="9" width="28" hidden="0" customWidth="1"/>
    <x:col min="10" max="10" width="19" hidden="0" customWidth="1"/>
    <x:col min="11" max="11" width="19" hidden="0" customWidth="1"/>
    <x:col min="12" max="12" width="20" hidden="0" customWidth="1"/>
    <x:col min="13" max="13" width="21" hidden="0" customWidth="1"/>
    <x:col min="14" max="14" width="18" hidden="0" customWidth="1"/>
    <x:col min="15" max="15" width="19" hidden="0" customWidth="1"/>
    <x:col min="16" max="16" width="18" hidden="0" customWidth="1"/>
    <x:col min="17" max="17" width="22" hidden="0" customWidth="1"/>
    <x:col min="18" max="18" width="44" hidden="0" customWidth="1"/>
    <x:col min="19" max="19" width="16" hidden="0" customWidth="1"/>
  </x:cols>
  <x:sheetData>
    <x:row r="1" ht="24" customHeight="1">
      <x:c r="A1" s="4" t="str">
        <x:v>04  通知提醒与执行反馈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3" ht="28" customHeight="1">
      <x:c r="A3" s="10" t="str">
        <x:v>模拟运行日期取 00_使用说明!B8；触发判断区分草稿、待发送、已失效与重复生成。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6" ht="34" customHeight="1">
      <x:c r="A6" s="17" t="str">
        <x:v>通知编号</x:v>
      </x:c>
      <x:c r="B6" s="17" t="str">
        <x:v>项目编号</x:v>
      </x:c>
      <x:c r="C6" s="17" t="str">
        <x:v>关联节点</x:v>
      </x:c>
      <x:c r="D6" s="17" t="str">
        <x:v>节点计划日期</x:v>
      </x:c>
      <x:c r="E6" s="17" t="str">
        <x:v>提前天数</x:v>
      </x:c>
      <x:c r="F6" s="17" t="str">
        <x:v>提醒日历口径</x:v>
      </x:c>
      <x:c r="G6" s="17" t="str">
        <x:v>计算触发日（公式）</x:v>
      </x:c>
      <x:c r="H6" s="17" t="str">
        <x:v>模拟运行日期</x:v>
      </x:c>
      <x:c r="I6" s="17" t="str">
        <x:v>触发判断（公式）</x:v>
      </x:c>
      <x:c r="J6" s="17" t="str">
        <x:v>关联标准动作</x:v>
      </x:c>
      <x:c r="K6" s="17" t="str">
        <x:v>接收对象</x:v>
      </x:c>
      <x:c r="L6" s="17" t="str">
        <x:v>通知状态</x:v>
      </x:c>
      <x:c r="M6" s="17" t="str">
        <x:v>任务状态</x:v>
      </x:c>
      <x:c r="N6" s="17" t="str">
        <x:v>反馈时间</x:v>
      </x:c>
      <x:c r="O6" s="17" t="str">
        <x:v>反馈核实状态</x:v>
      </x:c>
      <x:c r="P6" s="17" t="str">
        <x:v>实际发送时间</x:v>
      </x:c>
      <x:c r="Q6" s="17" t="str">
        <x:v>发送认定（公式）</x:v>
      </x:c>
      <x:c r="R6" s="17" t="str">
        <x:v>异常/说明</x:v>
      </x:c>
      <x:c r="S6" s="17" t="str">
        <x:v>规则编号</x:v>
      </x:c>
    </x:row>
    <x:row r="7" ht="38" customHeight="1">
      <x:c r="A7" s="52" t="str">
        <x:v>NT-001</x:v>
      </x:c>
      <x:c r="B7" s="52" t="str">
        <x:v>P-H028</x:v>
      </x:c>
      <x:c r="C7" s="52" t="str">
        <x:v>H028-N011</x:v>
      </x:c>
      <x:c r="D7" s="53" t="n">
        <x:v>46321</x:v>
      </x:c>
      <x:c r="E7" s="52" t="n">
        <x:v>7</x:v>
      </x:c>
      <x:c r="F7" s="52" t="str">
        <x:v>自然日</x:v>
      </x:c>
      <x:c r="G7" s="90" t="n">
        <x:f>IF(F7="自然日",D7-E7,WORKDAY.INTL(D7,-E7,1))</x:f>
        <x:v>46314</x:v>
      </x:c>
      <x:c r="H7" s="90" t="n">
        <x:f>'00_使用说明'!$B$8</x:f>
        <x:v>46314</x:v>
      </x:c>
      <x:c r="I7" s="86" t="str">
        <x:f>IF(COUNTIFS('02_节点计划'!$B$7:$B$73,C7,'02_节点计划'!$M$7:$M$73,"未到期")=0,"不触发-节点状态不适用",IF(L7="已失效","不触发-已失效",IF(G7&gt;H7,"未到触发日",IF(L7="已发送","已发送-防重复",IF(L7="已审核待发送","已审核-待发送",IF(L7="草稿待审核","已有草稿-防重复","可生成草稿"))))))</x:f>
        <x:v>已有草稿-防重复</x:v>
      </x:c>
      <x:c r="J7" s="52" t="str">
        <x:v>AT-REC-01</x:v>
      </x:c>
      <x:c r="K7" s="52" t="str">
        <x:v>财务部负责人</x:v>
      </x:c>
      <x:c r="L7" s="88" t="str">
        <x:v>草稿待审核</x:v>
      </x:c>
      <x:c r="M7" s="88" t="str">
        <x:v>待处理</x:v>
      </x:c>
      <x:c r="N7" s="53"/>
      <x:c r="O7" s="52" t="str">
        <x:v>未核实</x:v>
      </x:c>
      <x:c r="P7" s="53"/>
      <x:c r="Q7" s="52" t="str">
        <x:f>IF(AND(L7="已发送",ISNUMBER(P7)),"有可核实的发送记录","未核实发送")</x:f>
        <x:v>未核实发送</x:v>
      </x:c>
      <x:c r="R7" s="52" t="str">
        <x:v>已有草稿：不应再生成第二条</x:v>
      </x:c>
      <x:c r="S7" s="52" t="str">
        <x:v>R-REC</x:v>
      </x:c>
    </x:row>
    <x:row r="8" ht="38" customHeight="1">
      <x:c r="A8" s="62" t="str">
        <x:v>NT-002</x:v>
      </x:c>
      <x:c r="B8" s="62" t="str">
        <x:v>P-H028</x:v>
      </x:c>
      <x:c r="C8" s="62" t="str">
        <x:v>H028-N013</x:v>
      </x:c>
      <x:c r="D8" s="63" t="n">
        <x:v>46323</x:v>
      </x:c>
      <x:c r="E8" s="62" t="n">
        <x:v>7</x:v>
      </x:c>
      <x:c r="F8" s="62" t="str">
        <x:v>自然日</x:v>
      </x:c>
      <x:c r="G8" s="90" t="n">
        <x:f>IF(F8="自然日",D8-E8,WORKDAY.INTL(D8,-E8,1))</x:f>
        <x:v>46316</x:v>
      </x:c>
      <x:c r="H8" s="90" t="n">
        <x:f>'00_使用说明'!$B$8</x:f>
        <x:v>46314</x:v>
      </x:c>
      <x:c r="I8" s="86" t="str">
        <x:f>IF(COUNTIFS('02_节点计划'!$B$7:$B$73,C8,'02_节点计划'!$M$7:$M$73,"未到期")=0,"不触发-节点状态不适用",IF(L8="已失效","不触发-已失效",IF(G8&gt;H8,"未到触发日",IF(L8="已发送","已发送-防重复",IF(L8="已审核待发送","已审核-待发送",IF(L8="草稿待审核","已有草稿-防重复","可生成草稿"))))))</x:f>
        <x:v>未到触发日</x:v>
      </x:c>
      <x:c r="J8" s="62" t="str">
        <x:v>AT-ACC-01</x:v>
      </x:c>
      <x:c r="K8" s="62" t="str">
        <x:v>生产部负责人</x:v>
      </x:c>
      <x:c r="L8" s="88" t="str">
        <x:v>未生成</x:v>
      </x:c>
      <x:c r="M8" s="88" t="str">
        <x:v>待处理</x:v>
      </x:c>
      <x:c r="N8" s="63"/>
      <x:c r="O8" s="62" t="str">
        <x:v>未核实</x:v>
      </x:c>
      <x:c r="P8" s="63"/>
      <x:c r="Q8" s="62" t="str">
        <x:f>IF(AND(L8="已发送",ISNUMBER(P8)),"有可核实的发送记录","未核实发送")</x:f>
        <x:v>未核实发送</x:v>
      </x:c>
      <x:c r="R8" s="62" t="str">
        <x:v>未进入提前7天窗口</x:v>
      </x:c>
      <x:c r="S8" s="62" t="str">
        <x:v>R-ACC</x:v>
      </x:c>
    </x:row>
    <x:row r="9" ht="38" customHeight="1">
      <x:c r="A9" s="52" t="str">
        <x:v>NT-003</x:v>
      </x:c>
      <x:c r="B9" s="52" t="str">
        <x:v>P-H028</x:v>
      </x:c>
      <x:c r="C9" s="52" t="str">
        <x:v>H028-N022</x:v>
      </x:c>
      <x:c r="D9" s="53" t="n">
        <x:v>46374</x:v>
      </x:c>
      <x:c r="E9" s="52" t="n">
        <x:v>5</x:v>
      </x:c>
      <x:c r="F9" s="52" t="str">
        <x:v>自然日</x:v>
      </x:c>
      <x:c r="G9" s="90" t="n">
        <x:f>IF(F9="自然日",D9-E9,WORKDAY.INTL(D9,-E9,1))</x:f>
        <x:v>46369</x:v>
      </x:c>
      <x:c r="H9" s="90" t="n">
        <x:f>'00_使用说明'!$B$8</x:f>
        <x:v>46314</x:v>
      </x:c>
      <x:c r="I9" s="86" t="str">
        <x:f>IF(COUNTIFS('02_节点计划'!$B$7:$B$73,C9,'02_节点计划'!$M$7:$M$73,"未到期")=0,"不触发-节点状态不适用",IF(L9="已失效","不触发-已失效",IF(G9&gt;H9,"未到触发日",IF(L9="已发送","已发送-防重复",IF(L9="已审核待发送","已审核-待发送",IF(L9="草稿待审核","已有草稿-防重复","可生成草稿"))))))</x:f>
        <x:v>未到触发日</x:v>
      </x:c>
      <x:c r="J9" s="52" t="str">
        <x:v>AT-PAY-01</x:v>
      </x:c>
      <x:c r="K9" s="52" t="str">
        <x:v>财务部负责人</x:v>
      </x:c>
      <x:c r="L9" s="88" t="str">
        <x:v>未生成</x:v>
      </x:c>
      <x:c r="M9" s="88" t="str">
        <x:v>待处理</x:v>
      </x:c>
      <x:c r="N9" s="53"/>
      <x:c r="O9" s="52" t="str">
        <x:v>未核实</x:v>
      </x:c>
      <x:c r="P9" s="53"/>
      <x:c r="Q9" s="52" t="str">
        <x:f>IF(AND(L9="已发送",ISNUMBER(P9)),"有可核实的发送记录","未核实发送")</x:f>
        <x:v>未核实发送</x:v>
      </x:c>
      <x:c r="R9" s="52" t="str">
        <x:v>付款准备提醒非资金指令</x:v>
      </x:c>
      <x:c r="S9" s="52" t="str">
        <x:v>R-PAY</x:v>
      </x:c>
    </x:row>
    <x:row r="10" ht="38" customHeight="1">
      <x:c r="A10" s="62" t="str">
        <x:v>NT-004</x:v>
      </x:c>
      <x:c r="B10" s="62" t="str">
        <x:v>P-H031</x:v>
      </x:c>
      <x:c r="C10" s="62" t="str">
        <x:v>H031-N014</x:v>
      </x:c>
      <x:c r="D10" s="63" t="n">
        <x:v>46320</x:v>
      </x:c>
      <x:c r="E10" s="62" t="n">
        <x:v>7</x:v>
      </x:c>
      <x:c r="F10" s="62" t="str">
        <x:v>自然日</x:v>
      </x:c>
      <x:c r="G10" s="90" t="n">
        <x:f>IF(F10="自然日",D10-E10,WORKDAY.INTL(D10,-E10,1))</x:f>
        <x:v>46313</x:v>
      </x:c>
      <x:c r="H10" s="90" t="n">
        <x:f>'00_使用说明'!$B$8</x:f>
        <x:v>46314</x:v>
      </x:c>
      <x:c r="I10" s="86" t="str">
        <x:f>IF(COUNTIFS('02_节点计划'!$B$7:$B$73,C10,'02_节点计划'!$M$7:$M$73,"未到期")=0,"不触发-节点状态不适用",IF(L10="已失效","不触发-已失效",IF(G10&gt;H10,"未到触发日",IF(L10="已发送","已发送-防重复",IF(L10="已审核待发送","已审核-待发送",IF(L10="草稿待审核","已有草稿-防重复","可生成草稿"))))))</x:f>
        <x:v>可生成草稿</x:v>
      </x:c>
      <x:c r="J10" s="62" t="str">
        <x:v>AT-PROC-01</x:v>
      </x:c>
      <x:c r="K10" s="62" t="str">
        <x:v>采购部负责人</x:v>
      </x:c>
      <x:c r="L10" s="88" t="str">
        <x:v>未生成</x:v>
      </x:c>
      <x:c r="M10" s="88" t="str">
        <x:v>待处理</x:v>
      </x:c>
      <x:c r="N10" s="63"/>
      <x:c r="O10" s="62" t="str">
        <x:v>未核实</x:v>
      </x:c>
      <x:c r="P10" s="63"/>
      <x:c r="Q10" s="62" t="str">
        <x:f>IF(AND(L10="已发送",ISNUMBER(P10)),"有可核实的发送记录","未核实发送")</x:f>
        <x:v>未核实发送</x:v>
      </x:c>
      <x:c r="R10" s="62" t="str">
        <x:v>测试：窗口已开启、尚无草稿，应生成</x:v>
      </x:c>
      <x:c r="S10" s="62" t="str">
        <x:v>R-PROC</x:v>
      </x:c>
    </x:row>
    <x:row r="11" ht="38" customHeight="1">
      <x:c r="A11" s="52" t="str">
        <x:v>NT-005</x:v>
      </x:c>
      <x:c r="B11" s="52" t="str">
        <x:v>P-H031</x:v>
      </x:c>
      <x:c r="C11" s="52" t="str">
        <x:v>H031-N015</x:v>
      </x:c>
      <x:c r="D11" s="53" t="n">
        <x:v>46328</x:v>
      </x:c>
      <x:c r="E11" s="52" t="n">
        <x:v>7</x:v>
      </x:c>
      <x:c r="F11" s="52" t="str">
        <x:v>自然日</x:v>
      </x:c>
      <x:c r="G11" s="90" t="n">
        <x:f>IF(F11="自然日",D11-E11,WORKDAY.INTL(D11,-E11,1))</x:f>
        <x:v>46321</x:v>
      </x:c>
      <x:c r="H11" s="90" t="n">
        <x:f>'00_使用说明'!$B$8</x:f>
        <x:v>46314</x:v>
      </x:c>
      <x:c r="I11" s="86" t="str">
        <x:f>IF(COUNTIFS('02_节点计划'!$B$7:$B$73,C11,'02_节点计划'!$M$7:$M$73,"未到期")=0,"不触发-节点状态不适用",IF(L11="已失效","不触发-已失效",IF(G11&gt;H11,"未到触发日",IF(L11="已发送","已发送-防重复",IF(L11="已审核待发送","已审核-待发送",IF(L11="草稿待审核","已有草稿-防重复","可生成草稿"))))))</x:f>
        <x:v>未到触发日</x:v>
      </x:c>
      <x:c r="J11" s="52" t="str">
        <x:v>AT-REC-01</x:v>
      </x:c>
      <x:c r="K11" s="52" t="str">
        <x:v>财务部负责人</x:v>
      </x:c>
      <x:c r="L11" s="88" t="str">
        <x:v>未生成</x:v>
      </x:c>
      <x:c r="M11" s="88" t="str">
        <x:v>待处理</x:v>
      </x:c>
      <x:c r="N11" s="53"/>
      <x:c r="O11" s="52" t="str">
        <x:v>未核实</x:v>
      </x:c>
      <x:c r="P11" s="53"/>
      <x:c r="Q11" s="52" t="str">
        <x:f>IF(AND(L11="已发送",ISNUMBER(P11)),"有可核实的发送记录","未核实发送")</x:f>
        <x:v>未核实发送</x:v>
      </x:c>
      <x:c r="R11" s="52" t="str">
        <x:v>未来合同收款准备</x:v>
      </x:c>
      <x:c r="S11" s="52" t="str">
        <x:v>R-REC</x:v>
      </x:c>
    </x:row>
    <x:row r="12" ht="38" customHeight="1">
      <x:c r="A12" s="62" t="str">
        <x:v>NT-006</x:v>
      </x:c>
      <x:c r="B12" s="62" t="str">
        <x:v>P-H031</x:v>
      </x:c>
      <x:c r="C12" s="62" t="str">
        <x:v>H031-N013</x:v>
      </x:c>
      <x:c r="D12" s="63" t="n">
        <x:v>46318</x:v>
      </x:c>
      <x:c r="E12" s="62" t="n">
        <x:v>3</x:v>
      </x:c>
      <x:c r="F12" s="62" t="str">
        <x:v>工作日</x:v>
      </x:c>
      <x:c r="G12" s="90" t="n">
        <x:f>IF(F12="自然日",D12-E12,WORKDAY.INTL(D12,-E12,1))</x:f>
        <x:v>46315</x:v>
      </x:c>
      <x:c r="H12" s="90" t="n">
        <x:f>'00_使用说明'!$B$8</x:f>
        <x:v>46314</x:v>
      </x:c>
      <x:c r="I12" s="86" t="str">
        <x:f>IF(COUNTIFS('02_节点计划'!$B$7:$B$73,C12,'02_节点计划'!$M$7:$M$73,"未到期")=0,"不触发-节点状态不适用",IF(L12="已失效","不触发-已失效",IF(G12&gt;H12,"未到触发日",IF(L12="已发送","已发送-防重复",IF(L12="已审核待发送","已审核-待发送",IF(L12="草稿待审核","已有草稿-防重复","可生成草稿"))))))</x:f>
        <x:v>未到触发日</x:v>
      </x:c>
      <x:c r="J12" s="62" t="str">
        <x:v>AT-PROD-01</x:v>
      </x:c>
      <x:c r="K12" s="62" t="str">
        <x:v>生产部负责人</x:v>
      </x:c>
      <x:c r="L12" s="88" t="str">
        <x:v>未生成</x:v>
      </x:c>
      <x:c r="M12" s="88" t="str">
        <x:v>待处理</x:v>
      </x:c>
      <x:c r="N12" s="63"/>
      <x:c r="O12" s="62" t="str">
        <x:v>未核实</x:v>
      </x:c>
      <x:c r="P12" s="63"/>
      <x:c r="Q12" s="62" t="str">
        <x:f>IF(AND(L12="已发送",ISNUMBER(P12)),"有可核实的发送记录","未核实发送")</x:f>
        <x:v>未核实发送</x:v>
      </x:c>
      <x:c r="R12" s="62" t="str">
        <x:v>工作日示例：只排除周末</x:v>
      </x:c>
      <x:c r="S12" s="62" t="str">
        <x:v>R-PROD</x:v>
      </x:c>
    </x:row>
    <x:row r="13" ht="38" customHeight="1">
      <x:c r="A13" s="52" t="str">
        <x:v>NT-007</x:v>
      </x:c>
      <x:c r="B13" s="52" t="str">
        <x:v>P-H014</x:v>
      </x:c>
      <x:c r="C13" s="52" t="str">
        <x:v>H014-N009</x:v>
      </x:c>
      <x:c r="D13" s="53" t="n">
        <x:v>46319</x:v>
      </x:c>
      <x:c r="E13" s="52" t="n">
        <x:v>7</x:v>
      </x:c>
      <x:c r="F13" s="52" t="str">
        <x:v>自然日</x:v>
      </x:c>
      <x:c r="G13" s="90" t="n">
        <x:f>IF(F13="自然日",D13-E13,WORKDAY.INTL(D13,-E13,1))</x:f>
        <x:v>46312</x:v>
      </x:c>
      <x:c r="H13" s="90" t="n">
        <x:f>'00_使用说明'!$B$8</x:f>
        <x:v>46314</x:v>
      </x:c>
      <x:c r="I13" s="86" t="str">
        <x:f>IF(COUNTIFS('02_节点计划'!$B$7:$B$73,C13,'02_节点计划'!$M$7:$M$73,"未到期")=0,"不触发-节点状态不适用",IF(L13="已失效","不触发-已失效",IF(G13&gt;H13,"未到触发日",IF(L13="已发送","已发送-防重复",IF(L13="已审核待发送","已审核-待发送",IF(L13="草稿待审核","已有草稿-防重复","可生成草稿"))))))</x:f>
        <x:v>已审核-待发送</x:v>
      </x:c>
      <x:c r="J13" s="52" t="str">
        <x:v>AT-ACC-01</x:v>
      </x:c>
      <x:c r="K13" s="52" t="str">
        <x:v>质检部负责人</x:v>
      </x:c>
      <x:c r="L13" s="88" t="str">
        <x:v>已审核待发送</x:v>
      </x:c>
      <x:c r="M13" s="88" t="str">
        <x:v>处理中</x:v>
      </x:c>
      <x:c r="N13" s="53"/>
      <x:c r="O13" s="52" t="str">
        <x:v>未核实</x:v>
      </x:c>
      <x:c r="P13" s="53"/>
      <x:c r="Q13" s="52" t="str">
        <x:f>IF(AND(L13="已发送",ISNUMBER(P13)),"有可核实的发送记录","未核实发送")</x:f>
        <x:v>未核实发送</x:v>
      </x:c>
      <x:c r="R13" s="52" t="str">
        <x:v>审核通过不等于已发送</x:v>
      </x:c>
      <x:c r="S13" s="52" t="str">
        <x:v>R-ACC</x:v>
      </x:c>
    </x:row>
    <x:row r="14" ht="38" customHeight="1">
      <x:c r="A14" s="62" t="str">
        <x:v>NT-008</x:v>
      </x:c>
      <x:c r="B14" s="62" t="str">
        <x:v>P-H014</x:v>
      </x:c>
      <x:c r="C14" s="62" t="str">
        <x:v>H014-N010</x:v>
      </x:c>
      <x:c r="D14" s="63" t="n">
        <x:v>46326</x:v>
      </x:c>
      <x:c r="E14" s="62" t="n">
        <x:v>3</x:v>
      </x:c>
      <x:c r="F14" s="62" t="str">
        <x:v>工作日</x:v>
      </x:c>
      <x:c r="G14" s="90" t="n">
        <x:f>IF(F14="自然日",D14-E14,WORKDAY.INTL(D14,-E14,1))</x:f>
        <x:v>46323</x:v>
      </x:c>
      <x:c r="H14" s="90" t="n">
        <x:f>'00_使用说明'!$B$8</x:f>
        <x:v>46314</x:v>
      </x:c>
      <x:c r="I14" s="86" t="str">
        <x:f>IF(COUNTIFS('02_节点计划'!$B$7:$B$73,C14,'02_节点计划'!$M$7:$M$73,"未到期")=0,"不触发-节点状态不适用",IF(L14="已失效","不触发-已失效",IF(G14&gt;H14,"未到触发日",IF(L14="已发送","已发送-防重复",IF(L14="已审核待发送","已审核-待发送",IF(L14="草稿待审核","已有草稿-防重复","可生成草稿"))))))</x:f>
        <x:v>未到触发日</x:v>
      </x:c>
      <x:c r="J14" s="62" t="str">
        <x:v>AT-PROC-01</x:v>
      </x:c>
      <x:c r="K14" s="62" t="str">
        <x:v>采购部负责人</x:v>
      </x:c>
      <x:c r="L14" s="88" t="str">
        <x:v>未生成</x:v>
      </x:c>
      <x:c r="M14" s="88" t="str">
        <x:v>待处理</x:v>
      </x:c>
      <x:c r="N14" s="63"/>
      <x:c r="O14" s="62" t="str">
        <x:v>未核实</x:v>
      </x:c>
      <x:c r="P14" s="63"/>
      <x:c r="Q14" s="62" t="str">
        <x:f>IF(AND(L14="已发送",ISNUMBER(P14)),"有可核实的发送记录","未核实发送")</x:f>
        <x:v>未核实发送</x:v>
      </x:c>
      <x:c r="R14" s="62" t="str">
        <x:v>下一提醒尚未触发</x:v>
      </x:c>
      <x:c r="S14" s="62" t="str">
        <x:v>R-PROC</x:v>
      </x:c>
    </x:row>
    <x:row r="15" ht="38" customHeight="1">
      <x:c r="A15" s="52" t="str">
        <x:v>NT-009</x:v>
      </x:c>
      <x:c r="B15" s="52" t="str">
        <x:v>P-H028</x:v>
      </x:c>
      <x:c r="C15" s="52" t="str">
        <x:v>H028-N010</x:v>
      </x:c>
      <x:c r="D15" s="53" t="n">
        <x:v>46313</x:v>
      </x:c>
      <x:c r="E15" s="52" t="n">
        <x:v>3</x:v>
      </x:c>
      <x:c r="F15" s="52" t="str">
        <x:v>工作日</x:v>
      </x:c>
      <x:c r="G15" s="90" t="n">
        <x:f>IF(F15="自然日",D15-E15,WORKDAY.INTL(D15,-E15,1))</x:f>
        <x:v>46309</x:v>
      </x:c>
      <x:c r="H15" s="90" t="n">
        <x:f>'00_使用说明'!$B$8</x:f>
        <x:v>46314</x:v>
      </x:c>
      <x:c r="I15" s="86" t="str">
        <x:f>IF(COUNTIFS('02_节点计划'!$B$7:$B$73,C15,'02_节点计划'!$M$7:$M$73,"未到期")=0,"不触发-节点状态不适用",IF(L15="已失效","不触发-已失效",IF(G15&gt;H15,"未到触发日",IF(L15="已发送","已发送-防重复",IF(L15="已审核待发送","已审核-待发送",IF(L15="草稿待审核","已有草稿-防重复","可生成草稿"))))))</x:f>
        <x:v>不触发-节点状态不适用</x:v>
      </x:c>
      <x:c r="J15" s="52" t="str">
        <x:v>AT-PROC-01</x:v>
      </x:c>
      <x:c r="K15" s="52" t="str">
        <x:v>采购部负责人</x:v>
      </x:c>
      <x:c r="L15" s="88" t="str">
        <x:v>已失效</x:v>
      </x:c>
      <x:c r="M15" s="88" t="str">
        <x:v>已完成</x:v>
      </x:c>
      <x:c r="N15" s="53" t="n">
        <x:v>46313</x:v>
      </x:c>
      <x:c r="O15" s="52" t="str">
        <x:v>已核实</x:v>
      </x:c>
      <x:c r="P15" s="53"/>
      <x:c r="Q15" s="52" t="str">
        <x:f>IF(AND(L15="已发送",ISNUMBER(P15)),"有可核实的发送记录","未核实发送")</x:f>
        <x:v>未核实发送</x:v>
      </x:c>
      <x:c r="R15" s="52" t="str">
        <x:v>已完成的节点不应再生成新提醒</x:v>
      </x:c>
      <x:c r="S15" s="52" t="str">
        <x:v>R-PROC</x:v>
      </x:c>
    </x:row>
    <x:row r="16" ht="38" customHeight="1">
      <x:c r="A16" s="62" t="str">
        <x:v>NT-010</x:v>
      </x:c>
      <x:c r="B16" s="62" t="str">
        <x:v>P-H028</x:v>
      </x:c>
      <x:c r="C16" s="62" t="str">
        <x:v>H028-N011</x:v>
      </x:c>
      <x:c r="D16" s="63" t="n">
        <x:v>46321</x:v>
      </x:c>
      <x:c r="E16" s="62" t="n">
        <x:v>7</x:v>
      </x:c>
      <x:c r="F16" s="62" t="str">
        <x:v>自然日</x:v>
      </x:c>
      <x:c r="G16" s="90" t="n">
        <x:f>IF(F16="自然日",D16-E16,WORKDAY.INTL(D16,-E16,1))</x:f>
        <x:v>46314</x:v>
      </x:c>
      <x:c r="H16" s="90" t="n">
        <x:f>'00_使用说明'!$B$8</x:f>
        <x:v>46314</x:v>
      </x:c>
      <x:c r="I16" s="86" t="str">
        <x:f>IF(COUNTIFS('02_节点计划'!$B$7:$B$73,C16,'02_节点计划'!$M$7:$M$73,"未到期")=0,"不触发-节点状态不适用",IF(L16="已失效","不触发-已失效",IF(G16&gt;H16,"未到触发日",IF(L16="已发送","已发送-防重复",IF(L16="已审核待发送","已审核-待发送",IF(L16="草稿待审核","已有草稿-防重复","可生成草稿"))))))</x:f>
        <x:v>不触发-已失效</x:v>
      </x:c>
      <x:c r="J16" s="62" t="str">
        <x:v>AT-REC-02</x:v>
      </x:c>
      <x:c r="K16" s="62" t="str">
        <x:v>财务部负责人</x:v>
      </x:c>
      <x:c r="L16" s="88" t="str">
        <x:v>已失效</x:v>
      </x:c>
      <x:c r="M16" s="88" t="str">
        <x:v>待处理</x:v>
      </x:c>
      <x:c r="N16" s="63"/>
      <x:c r="O16" s="62" t="str">
        <x:v>未核实</x:v>
      </x:c>
      <x:c r="P16" s="63"/>
      <x:c r="Q16" s="62" t="str">
        <x:f>IF(AND(L16="已发送",ISNUMBER(P16)),"有可核实的发送记录","未核实发送")</x:f>
        <x:v>未核实发送</x:v>
      </x:c>
      <x:c r="R16" s="62" t="str">
        <x:v>历史提醒草稿示例：标记失效，不能发送</x:v>
      </x:c>
      <x:c r="S16" s="62" t="str">
        <x:v>R-REC</x:v>
      </x:c>
    </x:row>
    <x:row r="17" ht="38" customHeight="1">
      <x:c r="A17" s="52" t="str">
        <x:v>NT-011</x:v>
      </x:c>
      <x:c r="B17" s="52" t="str">
        <x:v>P-H031</x:v>
      </x:c>
      <x:c r="C17" s="52" t="str">
        <x:v>H031-N016</x:v>
      </x:c>
      <x:c r="D17" s="53" t="n">
        <x:v>46341</x:v>
      </x:c>
      <x:c r="E17" s="52" t="n">
        <x:v>14</x:v>
      </x:c>
      <x:c r="F17" s="52" t="str">
        <x:v>自然日</x:v>
      </x:c>
      <x:c r="G17" s="90" t="n">
        <x:f>IF(F17="自然日",D17-E17,WORKDAY.INTL(D17,-E17,1))</x:f>
        <x:v>46327</x:v>
      </x:c>
      <x:c r="H17" s="90" t="n">
        <x:f>'00_使用说明'!$B$8</x:f>
        <x:v>46314</x:v>
      </x:c>
      <x:c r="I17" s="86" t="str">
        <x:f>IF(COUNTIFS('02_节点计划'!$B$7:$B$73,C17,'02_节点计划'!$M$7:$M$73,"未到期")=0,"不触发-节点状态不适用",IF(L17="已失效","不触发-已失效",IF(G17&gt;H17,"未到触发日",IF(L17="已发送","已发送-防重复",IF(L17="已审核待发送","已审核-待发送",IF(L17="草稿待审核","已有草稿-防重复","可生成草稿"))))))</x:f>
        <x:v>未到触发日</x:v>
      </x:c>
      <x:c r="J17" s="52" t="str">
        <x:v>AT-ACC-01</x:v>
      </x:c>
      <x:c r="K17" s="52" t="str">
        <x:v>质检部负责人</x:v>
      </x:c>
      <x:c r="L17" s="88" t="str">
        <x:v>未生成</x:v>
      </x:c>
      <x:c r="M17" s="88" t="str">
        <x:v>待处理</x:v>
      </x:c>
      <x:c r="N17" s="53"/>
      <x:c r="O17" s="52" t="str">
        <x:v>未核实</x:v>
      </x:c>
      <x:c r="P17" s="53"/>
      <x:c r="Q17" s="52" t="str">
        <x:f>IF(AND(L17="已发送",ISNUMBER(P17)),"有可核实的发送记录","未核实发送")</x:f>
        <x:v>未核实发送</x:v>
      </x:c>
      <x:c r="R17" s="52" t="str">
        <x:v>计划未到触发窗口</x:v>
      </x:c>
      <x:c r="S17" s="52" t="str">
        <x:v>R-ACC</x:v>
      </x:c>
    </x:row>
  </x:sheetData>
  <x:mergeCells>
    <x:mergeCell ref="A1:S2"/>
    <x:mergeCell ref="A3:S3"/>
  </x:mergeCells>
  <x:conditionalFormatting sqref="I7:I17">
    <x:cfRule type="expression" dxfId="3" priority="1">
      <x:formula>$I7="可生成草稿"</x:formula>
    </x:cfRule>
  </x:conditionalFormatting>
  <x:dataValidations count="3">
    <x:dataValidation type="list" sqref="F7:F17">
      <x:formula1>"自然日,工作日"</x:formula1>
    </x:dataValidation>
    <x:dataValidation type="list" sqref="L7:L17">
      <x:formula1>"未生成,草稿待审核,已审核待发送,已发送,已失效"</x:formula1>
    </x:dataValidation>
    <x:dataValidation type="list" sqref="M7:M17">
      <x:formula1>"待处理,处理中,已提交待核实,已完成"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598169cc7042d5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49" hidden="0" customWidth="1"/>
  </x:cols>
  <x:sheetData>
    <x:row r="1" ht="24" customHeight="1">
      <x:c r="A1" s="4" t="str">
        <x:v>05  项目量化评估｜公式与预期核对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10" t="str">
        <x:v>动态结果来自 02_节点计划；待核对节点暂不参与按期率分母，规则为模拟测试口径，业务尚未确认。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6" ht="34" customHeight="1">
      <x:c r="A6" s="17" t="str">
        <x:v>项目编号</x:v>
      </x:c>
      <x:c r="B6" s="17" t="str">
        <x:v>项目节点总数</x:v>
      </x:c>
      <x:c r="C6" s="17" t="str">
        <x:v>到期节点数</x:v>
      </x:c>
      <x:c r="D6" s="17" t="str">
        <x:v>按期完成数</x:v>
      </x:c>
      <x:c r="E6" s="17" t="str">
        <x:v>延期完成数</x:v>
      </x:c>
      <x:c r="F6" s="17" t="str">
        <x:v>待核对数</x:v>
      </x:c>
      <x:c r="G6" s="17" t="str">
        <x:v>核实分母</x:v>
      </x:c>
      <x:c r="H6" s="17" t="str">
        <x:v>计算按期率</x:v>
      </x:c>
      <x:c r="I6" s="17" t="str">
        <x:v>预期按期率</x:v>
      </x:c>
      <x:c r="J6" s="17" t="str">
        <x:v>公式比对结果</x:v>
      </x:c>
      <x:c r="K6" s="17" t="str">
        <x:v>指标口径说明</x:v>
      </x:c>
    </x:row>
    <x:row r="7" ht="35" customHeight="1">
      <x:c r="A7" s="52" t="str">
        <x:v>P-H028</x:v>
      </x:c>
      <x:c r="B7" s="86" t="n">
        <x:f>COUNTIF('02_节点计划'!$A$7:$A$73,$A7)</x:f>
        <x:v>26</x:v>
      </x:c>
      <x:c r="C7" s="86" t="n">
        <x:f>COUNTIFS('02_节点计划'!$A$7:$A$73,$A7,'02_节点计划'!$O$7:$O$73,1)</x:f>
        <x:v>16</x:v>
      </x:c>
      <x:c r="D7" s="86" t="n">
        <x:f>COUNTIFS('02_节点计划'!$A$7:$A$73,$A7,'02_节点计划'!$M$7:$M$73,"按期完成")</x:f>
        <x:v>14</x:v>
      </x:c>
      <x:c r="E7" s="86" t="n">
        <x:f>COUNTIFS('02_节点计划'!$A$7:$A$73,$A7,'02_节点计划'!$M$7:$M$73,"延期完成")</x:f>
        <x:v>1</x:v>
      </x:c>
      <x:c r="F7" s="86" t="n">
        <x:f>COUNTIFS('02_节点计划'!$A$7:$A$73,$A7,'02_节点计划'!$M$7:$M$73,"待核对")</x:f>
        <x:v>1</x:v>
      </x:c>
      <x:c r="G7" s="86" t="n">
        <x:f>D7+E7</x:f>
        <x:v>15</x:v>
      </x:c>
      <x:c r="H7" s="92" t="n">
        <x:f>IF(G7=0,"",D7/G7)</x:f>
        <x:v>0.9333333333333333</x:v>
      </x:c>
      <x:c r="I7" s="94" t="n">
        <x:v>0.9333333333333333</x:v>
      </x:c>
      <x:c r="J7" s="52" t="str">
        <x:f>IF(ABS(H7-I7)&lt;0.00001,"一致","需核对")</x:f>
        <x:v>一致</x:v>
      </x:c>
      <x:c r="K7" s="52" t="str">
        <x:v>待核实节点暂不计入分母；不构成正式绩效评价。</x:v>
      </x:c>
    </x:row>
    <x:row r="8" ht="35" customHeight="1">
      <x:c r="A8" s="62" t="str">
        <x:v>P-H031</x:v>
      </x:c>
      <x:c r="B8" s="86" t="n">
        <x:f>COUNTIF('02_节点计划'!$A$7:$A$73,$A8)</x:f>
        <x:v>24</x:v>
      </x:c>
      <x:c r="C8" s="86" t="n">
        <x:f>COUNTIFS('02_节点计划'!$A$7:$A$73,$A8,'02_节点计划'!$O$7:$O$73,1)</x:f>
        <x:v>12</x:v>
      </x:c>
      <x:c r="D8" s="86" t="n">
        <x:f>COUNTIFS('02_节点计划'!$A$7:$A$73,$A8,'02_节点计划'!$M$7:$M$73,"按期完成")</x:f>
        <x:v>10</x:v>
      </x:c>
      <x:c r="E8" s="86" t="n">
        <x:f>COUNTIFS('02_节点计划'!$A$7:$A$73,$A8,'02_节点计划'!$M$7:$M$73,"延期完成")</x:f>
        <x:v>2</x:v>
      </x:c>
      <x:c r="F8" s="86" t="n">
        <x:f>COUNTIFS('02_节点计划'!$A$7:$A$73,$A8,'02_节点计划'!$M$7:$M$73,"待核对")</x:f>
        <x:v>0</x:v>
      </x:c>
      <x:c r="G8" s="86" t="n">
        <x:f>D8+E8</x:f>
        <x:v>12</x:v>
      </x:c>
      <x:c r="H8" s="92" t="n">
        <x:f>IF(G8=0,"",D8/G8)</x:f>
        <x:v>0.8333333333333334</x:v>
      </x:c>
      <x:c r="I8" s="94" t="n">
        <x:v>0.8333333333333334</x:v>
      </x:c>
      <x:c r="J8" s="62" t="str">
        <x:f>IF(ABS(H8-I8)&lt;0.00001,"一致","需核对")</x:f>
        <x:v>一致</x:v>
      </x:c>
      <x:c r="K8" s="62" t="str">
        <x:v>待核实节点暂不计入分母；不构成正式绩效评价。</x:v>
      </x:c>
    </x:row>
    <x:row r="9" ht="35" customHeight="1">
      <x:c r="A9" s="52" t="str">
        <x:v>P-H014</x:v>
      </x:c>
      <x:c r="B9" s="86" t="n">
        <x:f>COUNTIF('02_节点计划'!$A$7:$A$73,$A9)</x:f>
        <x:v>17</x:v>
      </x:c>
      <x:c r="C9" s="86" t="n">
        <x:f>COUNTIFS('02_节点计划'!$A$7:$A$73,$A9,'02_节点计划'!$O$7:$O$73,1)</x:f>
        <x:v>8</x:v>
      </x:c>
      <x:c r="D9" s="86" t="n">
        <x:f>COUNTIFS('02_节点计划'!$A$7:$A$73,$A9,'02_节点计划'!$M$7:$M$73,"按期完成")</x:f>
        <x:v>6</x:v>
      </x:c>
      <x:c r="E9" s="86" t="n">
        <x:f>COUNTIFS('02_节点计划'!$A$7:$A$73,$A9,'02_节点计划'!$M$7:$M$73,"延期完成")</x:f>
        <x:v>1</x:v>
      </x:c>
      <x:c r="F9" s="86" t="n">
        <x:f>COUNTIFS('02_节点计划'!$A$7:$A$73,$A9,'02_节点计划'!$M$7:$M$73,"待核对")</x:f>
        <x:v>1</x:v>
      </x:c>
      <x:c r="G9" s="86" t="n">
        <x:f>D9+E9</x:f>
        <x:v>7</x:v>
      </x:c>
      <x:c r="H9" s="92" t="n">
        <x:f>IF(G9=0,"",D9/G9)</x:f>
        <x:v>0.8571428571428571</x:v>
      </x:c>
      <x:c r="I9" s="94" t="n">
        <x:v>0.8571428571428571</x:v>
      </x:c>
      <x:c r="J9" s="52" t="str">
        <x:f>IF(ABS(H9-I9)&lt;0.00001,"一致","需核对")</x:f>
        <x:v>一致</x:v>
      </x:c>
      <x:c r="K9" s="52" t="str">
        <x:v>待核实节点暂不计入分母；不构成正式绩效评价。</x:v>
      </x:c>
    </x:row>
    <x:row r="10" ht="35" customHeight="1">
      <x:c r="A10" s="62" t="str">
        <x:v>合计</x:v>
      </x:c>
      <x:c r="B10" s="86" t="n">
        <x:f>SUM(B7:B9)</x:f>
        <x:v>67</x:v>
      </x:c>
      <x:c r="C10" s="86" t="n">
        <x:f>SUM(C7:C9)</x:f>
        <x:v>36</x:v>
      </x:c>
      <x:c r="D10" s="86" t="n">
        <x:f>SUM(D7:D9)</x:f>
        <x:v>30</x:v>
      </x:c>
      <x:c r="E10" s="86" t="n">
        <x:f>SUM(E7:E9)</x:f>
        <x:v>4</x:v>
      </x:c>
      <x:c r="F10" s="86" t="n">
        <x:f>SUM(F7:F9)</x:f>
        <x:v>2</x:v>
      </x:c>
      <x:c r="G10" s="86" t="n">
        <x:f>SUM(G7:G9)</x:f>
        <x:v>34</x:v>
      </x:c>
      <x:c r="H10" s="92" t="n">
        <x:f>IF(G10=0,"",D10/G10)</x:f>
        <x:v>0.8823529411764706</x:v>
      </x:c>
      <x:c r="I10" s="94" t="n">
        <x:v>0.8823529411764706</x:v>
      </x:c>
      <x:c r="J10" s="62" t="str">
        <x:f>IF(ABS(H10-I10)&lt;0.00001,"一致","需核对")</x:f>
        <x:v>一致</x:v>
      </x:c>
      <x:c r="K10" s="62" t="str">
        <x:v>总体按期率采用分子与分母汇总计算，不直接平均3个项目百分比。</x:v>
      </x:c>
    </x:row>
    <x:row r="13">
      <x:c r="A13" t="str">
        <x:v>计算规则（演示）：可核实到期节点 = 按期完成 + 延期完成；按期完成率 = 按期完成 / 可核实到期节点。未来节点、已取消节点均不纳入到期口径。</x:v>
      </x:c>
    </x:row>
    <x:row r="14">
      <x:c r="A14" t="str">
        <x:v>注意：待核对 ≠ 延期；延期完成 ≠ 到期未完成；财务计划金额 ≠ 实际收付款；所有业务口径应经部门确认。</x:v>
      </x:c>
    </x:row>
  </x:sheetData>
  <x:mergeCells>
    <x:mergeCell ref="A1:K2"/>
    <x:mergeCell ref="A3:K3"/>
    <x:mergeCell ref="A13:K13"/>
    <x:mergeCell ref="A14:K14"/>
  </x:mergeCells>
  <x:conditionalFormatting sqref="J7:J10">
    <x:cfRule type="expression" dxfId="4" priority="1">
      <x:formula>$J7="一致"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fc5573796c450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18" hidden="0" customWidth="1"/>
    <x:col min="5" max="5" width="27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3" hidden="0" customWidth="1"/>
    <x:col min="12" max="12" width="26" hidden="0" customWidth="1"/>
    <x:col min="13" max="13" width="47" hidden="0" customWidth="1"/>
    <x:col min="14" max="14" width="15" hidden="0" customWidth="1"/>
  </x:cols>
  <x:sheetData>
    <x:row r="1" ht="24" customHeight="1">
      <x:c r="A1" s="4" t="str">
        <x:v>06  收付款计划与实际｜严格区分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8" customHeight="1">
      <x:c r="A3" s="10" t="str">
        <x:v>财务计划记录不代表实际收付款；仅在财务核实状态为“已核实”且实际金额与日期均存在时确认。以下金额全为虚构。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6" ht="34" customHeight="1">
      <x:c r="A6" s="17" t="str">
        <x:v>项目编号</x:v>
      </x:c>
      <x:c r="B6" s="17" t="str">
        <x:v>财务事件编号</x:v>
      </x:c>
      <x:c r="C6" s="17" t="str">
        <x:v>事项类型</x:v>
      </x:c>
      <x:c r="D6" s="17" t="str">
        <x:v>关联节点</x:v>
      </x:c>
      <x:c r="E6" s="17" t="str">
        <x:v>日期来源</x:v>
      </x:c>
      <x:c r="F6" s="17" t="str">
        <x:v>计划日期</x:v>
      </x:c>
      <x:c r="G6" s="17" t="str">
        <x:v>计划金额（元）</x:v>
      </x:c>
      <x:c r="H6" s="17" t="str">
        <x:v>实际日期（核实后）</x:v>
      </x:c>
      <x:c r="I6" s="17" t="str">
        <x:v>实际金额（元）</x:v>
      </x:c>
      <x:c r="J6" s="17" t="str">
        <x:v>财务核实状态</x:v>
      </x:c>
      <x:c r="K6" s="17" t="str">
        <x:v>计算确认金额（公式）</x:v>
      </x:c>
      <x:c r="L6" s="17" t="str">
        <x:v>资金事实判定（公式）</x:v>
      </x:c>
      <x:c r="M6" s="17" t="str">
        <x:v>业务说明</x:v>
      </x:c>
      <x:c r="N6" s="17" t="str">
        <x:v>数据属性</x:v>
      </x:c>
    </x:row>
    <x:row r="7" ht="38" customHeight="1">
      <x:c r="A7" s="52" t="str">
        <x:v>P-H028</x:v>
      </x:c>
      <x:c r="B7" s="52" t="str">
        <x:v>FIN-028-01</x:v>
      </x:c>
      <x:c r="C7" s="52" t="str">
        <x:v>计划收款</x:v>
      </x:c>
      <x:c r="D7" s="52" t="str">
        <x:v>H028-N011</x:v>
      </x:c>
      <x:c r="E7" s="52" t="str">
        <x:v>合同约定（演示）</x:v>
      </x:c>
      <x:c r="F7" s="53" t="n">
        <x:v>46321</x:v>
      </x:c>
      <x:c r="G7" s="79" t="n">
        <x:v>8000000</x:v>
      </x:c>
      <x:c r="H7" s="53"/>
      <x:c r="I7" s="79"/>
      <x:c r="J7" s="88" t="str">
        <x:v>未核实</x:v>
      </x:c>
      <x:c r="K7" s="96" t="n">
        <x:f>IF(AND(J7="已核实",ISNUMBER(H7),ISNUMBER(I7)),I7,0)</x:f>
        <x:v>0</x:v>
      </x:c>
      <x:c r="L7" s="86" t="str">
        <x:f>IF(AND(J7="已核实",ISNUMBER(H7),ISNUMBER(I7)),"实际记录已核实","不可认定实际收付")</x:f>
        <x:v>不可认定实际收付</x:v>
      </x:c>
      <x:c r="M7" s="52" t="str">
        <x:v>未来阶段收款准备；禁止推断到账</x:v>
      </x:c>
      <x:c r="N7" s="52" t="str">
        <x:v>演示</x:v>
      </x:c>
    </x:row>
    <x:row r="8" ht="38" customHeight="1">
      <x:c r="A8" s="62" t="str">
        <x:v>P-H028</x:v>
      </x:c>
      <x:c r="B8" s="62" t="str">
        <x:v>FIN-028-02</x:v>
      </x:c>
      <x:c r="C8" s="62" t="str">
        <x:v>计划付款</x:v>
      </x:c>
      <x:c r="D8" s="62" t="str">
        <x:v>H028-N022</x:v>
      </x:c>
      <x:c r="E8" s="62" t="str">
        <x:v>付款计划（演示）</x:v>
      </x:c>
      <x:c r="F8" s="63" t="n">
        <x:v>46374</x:v>
      </x:c>
      <x:c r="G8" s="84" t="n">
        <x:v>3200000</x:v>
      </x:c>
      <x:c r="H8" s="63"/>
      <x:c r="I8" s="84"/>
      <x:c r="J8" s="88" t="str">
        <x:v>未核实</x:v>
      </x:c>
      <x:c r="K8" s="96" t="n">
        <x:f>IF(AND(J8="已核实",ISNUMBER(H8),ISNUMBER(I8)),I8,0)</x:f>
        <x:v>0</x:v>
      </x:c>
      <x:c r="L8" s="86" t="str">
        <x:f>IF(AND(J8="已核实",ISNUMBER(H8),ISNUMBER(I8)),"实际记录已核实","不可认定实际收付")</x:f>
        <x:v>不可认定实际收付</x:v>
      </x:c>
      <x:c r="M8" s="62" t="str">
        <x:v>仅提醒准备资料；无自动付款权限</x:v>
      </x:c>
      <x:c r="N8" s="62" t="str">
        <x:v>演示</x:v>
      </x:c>
    </x:row>
    <x:row r="9" ht="38" customHeight="1">
      <x:c r="A9" s="52" t="str">
        <x:v>P-H031</x:v>
      </x:c>
      <x:c r="B9" s="52" t="str">
        <x:v>FIN-031-01</x:v>
      </x:c>
      <x:c r="C9" s="52" t="str">
        <x:v>计划收款</x:v>
      </x:c>
      <x:c r="D9" s="52" t="str">
        <x:v>H031-N002</x:v>
      </x:c>
      <x:c r="E9" s="52" t="str">
        <x:v>示例合同约定（未核实）</x:v>
      </x:c>
      <x:c r="F9" s="53" t="n">
        <x:v>46271</x:v>
      </x:c>
      <x:c r="G9" s="79" t="n">
        <x:v>4000000</x:v>
      </x:c>
      <x:c r="H9" s="53" t="n">
        <x:v>46272</x:v>
      </x:c>
      <x:c r="I9" s="79" t="n">
        <x:v>4000000</x:v>
      </x:c>
      <x:c r="J9" s="88" t="str">
        <x:v>已核实</x:v>
      </x:c>
      <x:c r="K9" s="96" t="n">
        <x:f>IF(AND(J9="已核实",ISNUMBER(H9),ISNUMBER(I9)),I9,0)</x:f>
        <x:v>4000000</x:v>
      </x:c>
      <x:c r="L9" s="86" t="str">
        <x:f>IF(AND(J9="已核实",ISNUMBER(H9),ISNUMBER(I9)),"实际记录已核实","不可认定实际收付")</x:f>
        <x:v>实际记录已核实</x:v>
      </x:c>
      <x:c r="M9" s="52" t="str">
        <x:v>模拟财务已核实的历史收款</x:v>
      </x:c>
      <x:c r="N9" s="52" t="str">
        <x:v>演示</x:v>
      </x:c>
    </x:row>
    <x:row r="10" ht="38" customHeight="1">
      <x:c r="A10" s="62" t="str">
        <x:v>P-H031</x:v>
      </x:c>
      <x:c r="B10" s="62" t="str">
        <x:v>FIN-031-02</x:v>
      </x:c>
      <x:c r="C10" s="62" t="str">
        <x:v>计划付款</x:v>
      </x:c>
      <x:c r="D10" s="62" t="str">
        <x:v>H031-N010</x:v>
      </x:c>
      <x:c r="E10" s="62" t="str">
        <x:v>付款计划（演示）</x:v>
      </x:c>
      <x:c r="F10" s="63" t="n">
        <x:v>46307</x:v>
      </x:c>
      <x:c r="G10" s="84" t="n">
        <x:v>1000000</x:v>
      </x:c>
      <x:c r="H10" s="63"/>
      <x:c r="I10" s="84"/>
      <x:c r="J10" s="88" t="str">
        <x:v>未核实</x:v>
      </x:c>
      <x:c r="K10" s="96" t="n">
        <x:f>IF(AND(J10="已核实",ISNUMBER(H10),ISNUMBER(I10)),I10,0)</x:f>
        <x:v>0</x:v>
      </x:c>
      <x:c r="L10" s="86" t="str">
        <x:f>IF(AND(J10="已核实",ISNUMBER(H10),ISNUMBER(I10)),"实际记录已核实","不可认定实际收付")</x:f>
        <x:v>不可认定实际收付</x:v>
      </x:c>
      <x:c r="M10" s="62" t="str">
        <x:v>到期不意味着实际支付或符合付款条件</x:v>
      </x:c>
      <x:c r="N10" s="62" t="str">
        <x:v>演示</x:v>
      </x:c>
    </x:row>
    <x:row r="11" ht="38" customHeight="1">
      <x:c r="A11" s="52" t="str">
        <x:v>P-H014</x:v>
      </x:c>
      <x:c r="B11" s="52" t="str">
        <x:v>FIN-014-01</x:v>
      </x:c>
      <x:c r="C11" s="52" t="str">
        <x:v>计划付款</x:v>
      </x:c>
      <x:c r="D11" s="52" t="str">
        <x:v>H014-N014</x:v>
      </x:c>
      <x:c r="E11" s="52" t="str">
        <x:v>内部付款准备（演示）</x:v>
      </x:c>
      <x:c r="F11" s="53" t="n">
        <x:v>46358</x:v>
      </x:c>
      <x:c r="G11" s="79" t="n">
        <x:v>350000</x:v>
      </x:c>
      <x:c r="H11" s="53"/>
      <x:c r="I11" s="79"/>
      <x:c r="J11" s="88" t="str">
        <x:v>未核实</x:v>
      </x:c>
      <x:c r="K11" s="96" t="n">
        <x:f>IF(AND(J11="已核实",ISNUMBER(H11),ISNUMBER(I11)),I11,0)</x:f>
        <x:v>0</x:v>
      </x:c>
      <x:c r="L11" s="86" t="str">
        <x:f>IF(AND(J11="已核实",ISNUMBER(H11),ISNUMBER(I11)),"实际记录已核实","不可认定实际收付")</x:f>
        <x:v>不可认定实际收付</x:v>
      </x:c>
      <x:c r="M11" s="52" t="str">
        <x:v>付款条件和流程仍需人工确认</x:v>
      </x:c>
      <x:c r="N11" s="52" t="str">
        <x:v>演示</x:v>
      </x:c>
    </x:row>
    <x:row r="12" ht="38" customHeight="1">
      <x:c r="A12" s="62" t="str">
        <x:v>P-H014</x:v>
      </x:c>
      <x:c r="B12" s="62" t="str">
        <x:v>FIN-014-02</x:v>
      </x:c>
      <x:c r="C12" s="62" t="str">
        <x:v>计划收款</x:v>
      </x:c>
      <x:c r="D12" s="62" t="str">
        <x:v>H014-N001</x:v>
      </x:c>
      <x:c r="E12" s="62" t="str">
        <x:v>示例合同约定（未核实）</x:v>
      </x:c>
      <x:c r="F12" s="63" t="n">
        <x:v>46268</x:v>
      </x:c>
      <x:c r="G12" s="84" t="n">
        <x:v>500000</x:v>
      </x:c>
      <x:c r="H12" s="63"/>
      <x:c r="I12" s="84"/>
      <x:c r="J12" s="88" t="str">
        <x:v>未核实</x:v>
      </x:c>
      <x:c r="K12" s="96" t="n">
        <x:f>IF(AND(J12="已核实",ISNUMBER(H12),ISNUMBER(I12)),I12,0)</x:f>
        <x:v>0</x:v>
      </x:c>
      <x:c r="L12" s="86" t="str">
        <x:f>IF(AND(J12="已核实",ISNUMBER(H12),ISNUMBER(I12)),"实际记录已核实","不可认定实际收付")</x:f>
        <x:v>不可认定实际收付</x:v>
      </x:c>
      <x:c r="M12" s="62" t="str">
        <x:v>过去计划日期不能推定为已到账</x:v>
      </x:c>
      <x:c r="N12" s="62" t="str">
        <x:v>演示</x:v>
      </x:c>
    </x:row>
    <x:row r="15">
      <x:c r="A15" t="str">
        <x:v>警示：所有金额为演示值。计划收款 / 计划付款与实际收款 / 实际付款分开记录；禁止在AI报告中将未核实金额写成已发生事实。</x:v>
      </x:c>
    </x:row>
  </x:sheetData>
  <x:mergeCells>
    <x:mergeCell ref="A1:N2"/>
    <x:mergeCell ref="A3:N3"/>
    <x:mergeCell ref="A15:N15"/>
  </x:mergeCells>
  <x:conditionalFormatting sqref="L7:L12">
    <x:cfRule type="expression" dxfId="5" priority="1">
      <x:formula>$L7="不可认定实际收付"</x:formula>
    </x:cfRule>
  </x:conditionalFormatting>
  <x:dataValidations count="1">
    <x:dataValidation type="list" sqref="J7:J12">
      <x:formula1>"已核实,未核实,待核实"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f550644ba46c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1" hidden="0" customWidth="1"/>
    <x:col min="4" max="4" width="50" hidden="0" customWidth="1"/>
    <x:col min="5" max="5" width="30" hidden="0" customWidth="1"/>
    <x:col min="6" max="6" width="50" hidden="0" customWidth="1"/>
    <x:col min="7" max="7" width="35" hidden="0" customWidth="1"/>
    <x:col min="8" max="8" width="24" hidden="0" customWidth="1"/>
    <x:col min="9" max="9" width="17" hidden="0" customWidth="1"/>
    <x:col min="10" max="10" width="22" hidden="0" customWidth="1"/>
  </x:cols>
  <x:sheetData>
    <x:row r="1" ht="24" customHeight="1">
      <x:c r="A1" s="4" t="str">
        <x:v>07  测试用例与规则验证清单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10" t="str">
        <x:v>18 个用例：8 类节点/提醒、3 类财务与审核、导入异常和AI边界；“未执行”表示尚未跑真实程序。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6" ht="34" customHeight="1">
      <x:c r="A6" s="17" t="str">
        <x:v>用例编号</x:v>
      </x:c>
      <x:c r="B6" s="17" t="str">
        <x:v>测试类别</x:v>
      </x:c>
      <x:c r="C6" s="17" t="str">
        <x:v>关联业务对象</x:v>
      </x:c>
      <x:c r="D6" s="17" t="str">
        <x:v>模拟输入或触发条件</x:v>
      </x:c>
      <x:c r="E6" s="17" t="str">
        <x:v>预期状态/结果</x:v>
      </x:c>
      <x:c r="F6" s="17" t="str">
        <x:v>预期断言及原因</x:v>
      </x:c>
      <x:c r="G6" s="17" t="str">
        <x:v>对应数据/原型</x:v>
      </x:c>
      <x:c r="H6" s="17" t="str">
        <x:v>校验条件</x:v>
      </x:c>
      <x:c r="I6" s="17" t="str">
        <x:v>执行结果</x:v>
      </x:c>
      <x:c r="J6" s="17" t="str">
        <x:v>覆盖说明</x:v>
      </x:c>
    </x:row>
    <x:row r="7" ht="51" customHeight="1">
      <x:c r="A7" s="52" t="str">
        <x:v>TC-001</x:v>
      </x:c>
      <x:c r="B7" s="52" t="str">
        <x:v>节点评价</x:v>
      </x:c>
      <x:c r="C7" s="52" t="str">
        <x:v>H028-N005</x:v>
      </x:c>
      <x:c r="D7" s="52" t="str">
        <x:v>2026-10-10计划，2026-10-09核实完成</x:v>
      </x:c>
      <x:c r="E7" s="52" t="str">
        <x:v>按期完成</x:v>
      </x:c>
      <x:c r="F7" s="52" t="str">
        <x:v>无偏差负面结论</x:v>
      </x:c>
      <x:c r="G7" s="52" t="str">
        <x:v>02_节点计划 / 05_评价</x:v>
      </x:c>
      <x:c r="H7" s="52" t="str">
        <x:v>样例可直接复核</x:v>
      </x:c>
      <x:c r="I7" s="52" t="str">
        <x:v>未执行</x:v>
      </x:c>
      <x:c r="J7" s="52" t="str">
        <x:v>正常完成</x:v>
      </x:c>
    </x:row>
    <x:row r="8" ht="51" customHeight="1">
      <x:c r="A8" s="62" t="str">
        <x:v>TC-002</x:v>
      </x:c>
      <x:c r="B8" s="62" t="str">
        <x:v>节点评价</x:v>
      </x:c>
      <x:c r="C8" s="62" t="str">
        <x:v>H028-N006</x:v>
      </x:c>
      <x:c r="D8" s="62" t="str">
        <x:v>10-12计划，10-15核实完成</x:v>
      </x:c>
      <x:c r="E8" s="62" t="str">
        <x:v>延期完成</x:v>
      </x:c>
      <x:c r="F8" s="62" t="str">
        <x:v>+3自然日</x:v>
      </x:c>
      <x:c r="G8" s="62" t="str">
        <x:v>02_节点计划 / 05_评价</x:v>
      </x:c>
      <x:c r="H8" s="62" t="str">
        <x:v>样例可直接复核</x:v>
      </x:c>
      <x:c r="I8" s="62" t="str">
        <x:v>未执行</x:v>
      </x:c>
      <x:c r="J8" s="62" t="str">
        <x:v>设计审核延期</x:v>
      </x:c>
    </x:row>
    <x:row r="9" ht="51" customHeight="1">
      <x:c r="A9" s="52" t="str">
        <x:v>TC-003</x:v>
      </x:c>
      <x:c r="B9" s="52" t="str">
        <x:v>节点评价</x:v>
      </x:c>
      <x:c r="C9" s="52" t="str">
        <x:v>H028-N008</x:v>
      </x:c>
      <x:c r="D9" s="52" t="str">
        <x:v>计划10-16，实际日期缺失，待核实</x:v>
      </x:c>
      <x:c r="E9" s="52" t="str">
        <x:v>待核对</x:v>
      </x:c>
      <x:c r="F9" s="52" t="str">
        <x:v>不得直接判定延期</x:v>
      </x:c>
      <x:c r="G9" s="52" t="str">
        <x:v>02_节点计划 / 05_评价</x:v>
      </x:c>
      <x:c r="H9" s="52" t="str">
        <x:v>样例可直接复核</x:v>
      </x:c>
      <x:c r="I9" s="52" t="str">
        <x:v>未执行</x:v>
      </x:c>
      <x:c r="J9" s="52" t="str">
        <x:v>缺失数据</x:v>
      </x:c>
    </x:row>
    <x:row r="10" ht="51" customHeight="1">
      <x:c r="A10" s="62" t="str">
        <x:v>TC-004</x:v>
      </x:c>
      <x:c r="B10" s="62" t="str">
        <x:v>节点评价</x:v>
      </x:c>
      <x:c r="C10" s="62" t="str">
        <x:v>H028-N011</x:v>
      </x:c>
      <x:c r="D10" s="62" t="str">
        <x:v>计划10-26，统计截止10-19</x:v>
      </x:c>
      <x:c r="E10" s="62" t="str">
        <x:v>未到期</x:v>
      </x:c>
      <x:c r="F10" s="62" t="str">
        <x:v>不得计入10-19到期分母</x:v>
      </x:c>
      <x:c r="G10" s="62" t="str">
        <x:v>02_节点计划 / 05_评价</x:v>
      </x:c>
      <x:c r="H10" s="62" t="str">
        <x:v>样例可直接复核</x:v>
      </x:c>
      <x:c r="I10" s="62" t="str">
        <x:v>未执行</x:v>
      </x:c>
      <x:c r="J10" s="62" t="str">
        <x:v>未来节点</x:v>
      </x:c>
    </x:row>
    <x:row r="11" ht="51" customHeight="1">
      <x:c r="A11" s="52" t="str">
        <x:v>TC-005</x:v>
      </x:c>
      <x:c r="B11" s="52" t="str">
        <x:v>按期率</x:v>
      </x:c>
      <x:c r="C11" s="52" t="str">
        <x:v>P-H028</x:v>
      </x:c>
      <x:c r="D11" s="52" t="str">
        <x:v>到期16；按期14；延期1；待核对1</x:v>
      </x:c>
      <x:c r="E11" s="52" t="str">
        <x:v>93.3%</x:v>
      </x:c>
      <x:c r="F11" s="52" t="str">
        <x:v>14÷(14+1)</x:v>
      </x:c>
      <x:c r="G11" s="52" t="str">
        <x:v>05_预期评价结果</x:v>
      </x:c>
      <x:c r="H11" s="52" t="str">
        <x:v>样例可直接复核</x:v>
      </x:c>
      <x:c r="I11" s="52" t="str">
        <x:v>未执行</x:v>
      </x:c>
      <x:c r="J11" s="52" t="str">
        <x:v>待核对暂不入分母</x:v>
      </x:c>
    </x:row>
    <x:row r="12" ht="51" customHeight="1">
      <x:c r="A12" s="62" t="str">
        <x:v>TC-006</x:v>
      </x:c>
      <x:c r="B12" s="62" t="str">
        <x:v>总体按期率</x:v>
      </x:c>
      <x:c r="C12" s="62" t="str">
        <x:v>3个项目</x:v>
      </x:c>
      <x:c r="D12" s="62" t="str">
        <x:v>到期36；按期30；延期4；待核对2</x:v>
      </x:c>
      <x:c r="E12" s="62" t="str">
        <x:v>88.2%</x:v>
      </x:c>
      <x:c r="F12" s="62" t="str">
        <x:v>30÷34；不能简单平均各项目比例</x:v>
      </x:c>
      <x:c r="G12" s="62" t="str">
        <x:v>05_预期评价结果</x:v>
      </x:c>
      <x:c r="H12" s="62" t="str">
        <x:v>样例可直接复核</x:v>
      </x:c>
      <x:c r="I12" s="62" t="str">
        <x:v>未执行</x:v>
      </x:c>
      <x:c r="J12" s="62" t="str">
        <x:v>整体汇总</x:v>
      </x:c>
    </x:row>
    <x:row r="13" ht="51" customHeight="1">
      <x:c r="A13" s="52" t="str">
        <x:v>TC-007</x:v>
      </x:c>
      <x:c r="B13" s="52" t="str">
        <x:v>提醒计算</x:v>
      </x:c>
      <x:c r="C13" s="52" t="str">
        <x:v>H028-N011</x:v>
      </x:c>
      <x:c r="D13" s="52" t="str">
        <x:v>10-26计划，提前7自然日，运行10-19</x:v>
      </x:c>
      <x:c r="E13" s="52" t="str">
        <x:v>触发日10-19</x:v>
      </x:c>
      <x:c r="F13" s="52" t="str">
        <x:v>已有草稿，不能重复生成</x:v>
      </x:c>
      <x:c r="G13" s="52" t="str">
        <x:v>04_任务与通知 NT-001</x:v>
      </x:c>
      <x:c r="H13" s="52" t="str">
        <x:v>样例可直接复核</x:v>
      </x:c>
      <x:c r="I13" s="52" t="str">
        <x:v>未执行</x:v>
      </x:c>
      <x:c r="J13" s="52" t="str">
        <x:v>防重复</x:v>
      </x:c>
    </x:row>
    <x:row r="14" ht="51" customHeight="1">
      <x:c r="A14" s="62" t="str">
        <x:v>TC-008</x:v>
      </x:c>
      <x:c r="B14" s="62" t="str">
        <x:v>提醒计算</x:v>
      </x:c>
      <x:c r="C14" s="62" t="str">
        <x:v>H028-N013</x:v>
      </x:c>
      <x:c r="D14" s="62" t="str">
        <x:v>10-28计划，提前7自然日，运行10-19</x:v>
      </x:c>
      <x:c r="E14" s="62" t="str">
        <x:v>触发日10-21</x:v>
      </x:c>
      <x:c r="F14" s="62" t="str">
        <x:v>未到触发日，不提醒</x:v>
      </x:c>
      <x:c r="G14" s="62" t="str">
        <x:v>04_任务与通知 NT-002</x:v>
      </x:c>
      <x:c r="H14" s="62" t="str">
        <x:v>样例可直接复核</x:v>
      </x:c>
      <x:c r="I14" s="62" t="str">
        <x:v>未执行</x:v>
      </x:c>
      <x:c r="J14" s="62" t="str">
        <x:v>未来提醒</x:v>
      </x:c>
    </x:row>
    <x:row r="15" ht="51" customHeight="1">
      <x:c r="A15" s="52" t="str">
        <x:v>TC-009</x:v>
      </x:c>
      <x:c r="B15" s="52" t="str">
        <x:v>提醒状态</x:v>
      </x:c>
      <x:c r="C15" s="52" t="str">
        <x:v>H031-N014</x:v>
      </x:c>
      <x:c r="D15" s="52" t="str">
        <x:v>触发窗口已开启，状态未生成</x:v>
      </x:c>
      <x:c r="E15" s="52" t="str">
        <x:v>可生成草稿</x:v>
      </x:c>
      <x:c r="F15" s="52" t="str">
        <x:v>需形成唯一业务键防重复</x:v>
      </x:c>
      <x:c r="G15" s="52" t="str">
        <x:v>04_任务与通知 NT-004</x:v>
      </x:c>
      <x:c r="H15" s="52" t="str">
        <x:v>样例可直接复核</x:v>
      </x:c>
      <x:c r="I15" s="52" t="str">
        <x:v>未执行</x:v>
      </x:c>
      <x:c r="J15" s="52" t="str">
        <x:v>待生成草稿</x:v>
      </x:c>
    </x:row>
    <x:row r="16" ht="51" customHeight="1">
      <x:c r="A16" s="62" t="str">
        <x:v>TC-010</x:v>
      </x:c>
      <x:c r="B16" s="62" t="str">
        <x:v>通知审核</x:v>
      </x:c>
      <x:c r="C16" s="62" t="str">
        <x:v>H014-N009</x:v>
      </x:c>
      <x:c r="D16" s="62" t="str">
        <x:v>通知已审核，发送日期为空</x:v>
      </x:c>
      <x:c r="E16" s="62" t="str">
        <x:v>已审核待发送</x:v>
      </x:c>
      <x:c r="F16" s="62" t="str">
        <x:v>不可认定已发送</x:v>
      </x:c>
      <x:c r="G16" s="62" t="str">
        <x:v>04_任务与通知 NT-007</x:v>
      </x:c>
      <x:c r="H16" s="62" t="str">
        <x:v>样例可直接复核</x:v>
      </x:c>
      <x:c r="I16" s="62" t="str">
        <x:v>未执行</x:v>
      </x:c>
      <x:c r="J16" s="62" t="str">
        <x:v>审发分离</x:v>
      </x:c>
    </x:row>
    <x:row r="17" ht="51" customHeight="1">
      <x:c r="A17" s="52" t="str">
        <x:v>TC-011</x:v>
      </x:c>
      <x:c r="B17" s="52" t="str">
        <x:v>收付款事实</x:v>
      </x:c>
      <x:c r="C17" s="52" t="str">
        <x:v>FIN-028-01</x:v>
      </x:c>
      <x:c r="D17" s="52" t="str">
        <x:v>计划收款800万元；实际金额与日期均缺失</x:v>
      </x:c>
      <x:c r="E17" s="52" t="str">
        <x:v>未确认实际收款</x:v>
      </x:c>
      <x:c r="F17" s="52" t="str">
        <x:v>严禁记录到账800万元</x:v>
      </x:c>
      <x:c r="G17" s="52" t="str">
        <x:v>06_收付款计划实际</x:v>
      </x:c>
      <x:c r="H17" s="52" t="str">
        <x:v>样例可直接复核</x:v>
      </x:c>
      <x:c r="I17" s="52" t="str">
        <x:v>未执行</x:v>
      </x:c>
      <x:c r="J17" s="52" t="str">
        <x:v>财务事实</x:v>
      </x:c>
    </x:row>
    <x:row r="18" ht="51" customHeight="1">
      <x:c r="A18" s="62" t="str">
        <x:v>TC-012</x:v>
      </x:c>
      <x:c r="B18" s="62" t="str">
        <x:v>收付款事实</x:v>
      </x:c>
      <x:c r="C18" s="62" t="str">
        <x:v>FIN-031-01</x:v>
      </x:c>
      <x:c r="D18" s="62" t="str">
        <x:v>实际收款400万元、日期及核实均有记录</x:v>
      </x:c>
      <x:c r="E18" s="62" t="str">
        <x:v>已核实实际收款400万元</x:v>
      </x:c>
      <x:c r="F18" s="62" t="str">
        <x:v>只承认经过核实的模拟金额</x:v>
      </x:c>
      <x:c r="G18" s="62" t="str">
        <x:v>06_收付款计划实际</x:v>
      </x:c>
      <x:c r="H18" s="62" t="str">
        <x:v>样例可直接复核</x:v>
      </x:c>
      <x:c r="I18" s="62" t="str">
        <x:v>未执行</x:v>
      </x:c>
      <x:c r="J18" s="62" t="str">
        <x:v>模拟已确认</x:v>
      </x:c>
    </x:row>
    <x:row r="19" ht="51" customHeight="1">
      <x:c r="A19" s="52" t="str">
        <x:v>TC-013</x:v>
      </x:c>
      <x:c r="B19" s="52" t="str">
        <x:v>Excel导入</x:v>
      </x:c>
      <x:c r="C19" s="52" t="str">
        <x:v>P-H028</x:v>
      </x:c>
      <x:c r="D19" s="52" t="str">
        <x:v>待导入项目编号与台账重复</x:v>
      </x:c>
      <x:c r="E19" s="52" t="str">
        <x:v>校验失败或明确跳过</x:v>
      </x:c>
      <x:c r="F19" s="52" t="str">
        <x:v>不得悄悄覆盖正式数据</x:v>
      </x:c>
      <x:c r="G19" s="52" t="str">
        <x:v>Figma 24 Excel校验画面</x:v>
      </x:c>
      <x:c r="H19" s="52" t="str">
        <x:v>需连接真实接口</x:v>
      </x:c>
      <x:c r="I19" s="52" t="str">
        <x:v>未执行</x:v>
      </x:c>
      <x:c r="J19" s="52" t="str">
        <x:v>重复导入</x:v>
      </x:c>
    </x:row>
    <x:row r="20" ht="51" customHeight="1">
      <x:c r="A20" s="62" t="str">
        <x:v>TC-014</x:v>
      </x:c>
      <x:c r="B20" s="62" t="str">
        <x:v>Excel导入</x:v>
      </x:c>
      <x:c r="C20" s="62" t="str">
        <x:v>新项目编号为空</x:v>
      </x:c>
      <x:c r="D20" s="62" t="str">
        <x:v>关键必填字段缺失</x:v>
      </x:c>
      <x:c r="E20" s="62" t="str">
        <x:v>校验失败</x:v>
      </x:c>
      <x:c r="F20" s="62" t="str">
        <x:v>保留错误行和原因</x:v>
      </x:c>
      <x:c r="G20" s="62" t="str">
        <x:v>Figma 24 Excel校验画面</x:v>
      </x:c>
      <x:c r="H20" s="62" t="str">
        <x:v>需连接真实接口</x:v>
      </x:c>
      <x:c r="I20" s="62" t="str">
        <x:v>未执行</x:v>
      </x:c>
      <x:c r="J20" s="62" t="str">
        <x:v>缺失字段</x:v>
      </x:c>
    </x:row>
    <x:row r="21" ht="51" customHeight="1">
      <x:c r="A21" s="52" t="str">
        <x:v>TC-015</x:v>
      </x:c>
      <x:c r="B21" s="52" t="str">
        <x:v>计划变更</x:v>
      </x:c>
      <x:c r="C21" s="52" t="str">
        <x:v>H028-N011</x:v>
      </x:c>
      <x:c r="D21" s="52" t="str">
        <x:v>计划版V2变更为V3，日期改变</x:v>
      </x:c>
      <x:c r="E21" s="52" t="str">
        <x:v>原提醒需失效或复核</x:v>
      </x:c>
      <x:c r="F21" s="52" t="str">
        <x:v>重算提醒，不沿用失效草稿</x:v>
      </x:c>
      <x:c r="G21" s="52" t="str">
        <x:v>业务规则待确认</x:v>
      </x:c>
      <x:c r="H21" s="52" t="str">
        <x:v>需补充场景</x:v>
      </x:c>
      <x:c r="I21" s="52" t="str">
        <x:v>未执行</x:v>
      </x:c>
      <x:c r="J21" s="52" t="str">
        <x:v>版本切换</x:v>
      </x:c>
    </x:row>
    <x:row r="22" ht="51" customHeight="1">
      <x:c r="A22" s="62" t="str">
        <x:v>TC-016</x:v>
      </x:c>
      <x:c r="B22" s="62" t="str">
        <x:v>节点取消</x:v>
      </x:c>
      <x:c r="C22" s="62" t="str">
        <x:v>任意有效节点</x:v>
      </x:c>
      <x:c r="D22" s="62" t="str">
        <x:v>业务确认节点取消</x:v>
      </x:c>
      <x:c r="E22" s="62" t="str">
        <x:v>不再产生新提醒</x:v>
      </x:c>
      <x:c r="F22" s="62" t="str">
        <x:v>旧待发通知需作废处理</x:v>
      </x:c>
      <x:c r="G22" s="62" t="str">
        <x:v>业务规则待确认</x:v>
      </x:c>
      <x:c r="H22" s="62" t="str">
        <x:v>需补充场景</x:v>
      </x:c>
      <x:c r="I22" s="62" t="str">
        <x:v>未执行</x:v>
      </x:c>
      <x:c r="J22" s="62" t="str">
        <x:v>撤销</x:v>
      </x:c>
    </x:row>
    <x:row r="23" ht="51" customHeight="1">
      <x:c r="A23" s="52" t="str">
        <x:v>TC-017</x:v>
      </x:c>
      <x:c r="B23" s="52" t="str">
        <x:v>工作日与节假日</x:v>
      </x:c>
      <x:c r="C23" s="52" t="str">
        <x:v>H031-N013</x:v>
      </x:c>
      <x:c r="D23" s="52" t="str">
        <x:v>提前3工作日；节假日表未配置</x:v>
      </x:c>
      <x:c r="E23" s="52" t="str">
        <x:v>仅能演示排除周末</x:v>
      </x:c>
      <x:c r="F23" s="52" t="str">
        <x:v>正式场景补充企业工作日历</x:v>
      </x:c>
      <x:c r="G23" s="52" t="str">
        <x:v>04_任务与通知 NT-006</x:v>
      </x:c>
      <x:c r="H23" s="52" t="str">
        <x:v>需补充假日日历</x:v>
      </x:c>
      <x:c r="I23" s="52" t="str">
        <x:v>未执行</x:v>
      </x:c>
      <x:c r="J23" s="52" t="str">
        <x:v>节假日处理</x:v>
      </x:c>
    </x:row>
    <x:row r="24" ht="51" customHeight="1">
      <x:c r="A24" s="62" t="str">
        <x:v>TC-018</x:v>
      </x:c>
      <x:c r="B24" s="62" t="str">
        <x:v>AI事实约束</x:v>
      </x:c>
      <x:c r="C24" s="62" t="str">
        <x:v>P-H028</x:v>
      </x:c>
      <x:c r="D24" s="62" t="str">
        <x:v>引用节点完成/财务计划和状态</x:v>
      </x:c>
      <x:c r="E24" s="62" t="str">
        <x:v>只可引用结构化已核实事实</x:v>
      </x:c>
      <x:c r="F24" s="62" t="str">
        <x:v>不得臆造付款、合同满足或完成率</x:v>
      </x:c>
      <x:c r="G24" s="62" t="str">
        <x:v>AI报告原型</x:v>
      </x:c>
      <x:c r="H24" s="62" t="str">
        <x:v>需连接模型与人工审核</x:v>
      </x:c>
      <x:c r="I24" s="62" t="str">
        <x:v>未执行</x:v>
      </x:c>
      <x:c r="J24" s="62" t="str">
        <x:v>AI边界</x:v>
      </x:c>
    </x:row>
  </x:sheetData>
  <x:mergeCells>
    <x:mergeCell ref="A1:J2"/>
    <x:mergeCell ref="A3:J3"/>
  </x:mergeCells>
  <x:dataValidations count="1">
    <x:dataValidation type="list" sqref="I7:I24">
      <x:formula1>"未执行,通过,不通过,待业务确认"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4317a515384b5b"/>
  </x:tableParts>
</x:worksheet>
</file>